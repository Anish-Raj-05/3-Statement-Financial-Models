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ocuments\Anish\Projects\Financial Modelling &amp; Valuation\"/>
    </mc:Choice>
  </mc:AlternateContent>
  <xr:revisionPtr revIDLastSave="0" documentId="13_ncr:1_{B942F2D7-32DC-4684-9C5B-05D594A11D9B}" xr6:coauthVersionLast="36" xr6:coauthVersionMax="36" xr10:uidLastSave="{00000000-0000-0000-0000-000000000000}"/>
  <bookViews>
    <workbookView xWindow="0" yWindow="0" windowWidth="20490" windowHeight="8130" tabRatio="500" xr2:uid="{00000000-000D-0000-FFFF-FFFF00000000}"/>
  </bookViews>
  <sheets>
    <sheet name="Assumptions" sheetId="1" r:id="rId1"/>
    <sheet name="Income Statement" sheetId="2" r:id="rId2"/>
    <sheet name="Balance Sheet" sheetId="3" r:id="rId3"/>
    <sheet name="Cash Flow Statement" sheetId="4" r:id="rId4"/>
    <sheet name="Capex Schedule" sheetId="5" r:id="rId5"/>
    <sheet name="Debt Schedule" sheetId="6" r:id="rId6"/>
    <sheet name="Data_Sheet" sheetId="7" state="hidden" r:id="rId7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7" l="1"/>
  <c r="B19" i="7"/>
  <c r="C6" i="6"/>
  <c r="C7" i="6"/>
  <c r="L6" i="7"/>
  <c r="C6" i="7"/>
  <c r="D6" i="7"/>
  <c r="E6" i="7"/>
  <c r="F6" i="7"/>
  <c r="G6" i="7"/>
  <c r="B6" i="7"/>
  <c r="B8" i="7"/>
  <c r="B13" i="7" s="1"/>
  <c r="I13" i="7" s="1"/>
  <c r="B9" i="7"/>
  <c r="B14" i="7" s="1"/>
  <c r="I14" i="7" s="1"/>
  <c r="B10" i="7"/>
  <c r="B15" i="7" s="1"/>
  <c r="I15" i="7" s="1"/>
  <c r="B7" i="7"/>
  <c r="B12" i="7" s="1"/>
  <c r="I12" i="7" s="1"/>
  <c r="C6" i="2"/>
  <c r="D6" i="2" s="1"/>
  <c r="E6" i="2" s="1"/>
  <c r="F6" i="2" s="1"/>
  <c r="G6" i="2" s="1"/>
  <c r="C4" i="6" l="1"/>
  <c r="C7" i="5"/>
  <c r="C24" i="4"/>
  <c r="C21" i="3"/>
  <c r="D21" i="3" s="1"/>
  <c r="C3" i="2"/>
  <c r="C4" i="2" s="1"/>
  <c r="C5" i="5" l="1"/>
  <c r="C15" i="4" s="1"/>
  <c r="C17" i="4" s="1"/>
  <c r="C17" i="3"/>
  <c r="C10" i="4" s="1"/>
  <c r="C9" i="2"/>
  <c r="C7" i="7" s="1"/>
  <c r="C11" i="2"/>
  <c r="C9" i="7" s="1"/>
  <c r="C6" i="3"/>
  <c r="C7" i="4" s="1"/>
  <c r="D3" i="2"/>
  <c r="D4" i="2" s="1"/>
  <c r="C5" i="2"/>
  <c r="C10" i="2"/>
  <c r="C8" i="7" s="1"/>
  <c r="C7" i="3"/>
  <c r="C8" i="4" s="1"/>
  <c r="C16" i="3"/>
  <c r="E21" i="3"/>
  <c r="C20" i="2"/>
  <c r="C5" i="6"/>
  <c r="C20" i="4" s="1"/>
  <c r="C22" i="4" s="1"/>
  <c r="C6" i="5" l="1"/>
  <c r="D4" i="5" s="1"/>
  <c r="D5" i="5"/>
  <c r="D15" i="4" s="1"/>
  <c r="D17" i="4" s="1"/>
  <c r="D17" i="3"/>
  <c r="D10" i="4" s="1"/>
  <c r="D6" i="3"/>
  <c r="D7" i="4" s="1"/>
  <c r="D11" i="2"/>
  <c r="D9" i="7" s="1"/>
  <c r="D9" i="2"/>
  <c r="D7" i="7" s="1"/>
  <c r="D16" i="3"/>
  <c r="D7" i="3"/>
  <c r="D8" i="4" s="1"/>
  <c r="D10" i="2"/>
  <c r="D8" i="7" s="1"/>
  <c r="D5" i="2"/>
  <c r="E3" i="2"/>
  <c r="E4" i="2" s="1"/>
  <c r="F21" i="3"/>
  <c r="C9" i="4"/>
  <c r="C18" i="3"/>
  <c r="C21" i="7" s="1"/>
  <c r="C8" i="5" l="1"/>
  <c r="C24" i="3" s="1"/>
  <c r="C12" i="2" s="1"/>
  <c r="C9" i="3"/>
  <c r="G21" i="3"/>
  <c r="E16" i="3"/>
  <c r="E5" i="5"/>
  <c r="E15" i="4" s="1"/>
  <c r="E17" i="4" s="1"/>
  <c r="E17" i="3"/>
  <c r="E10" i="4" s="1"/>
  <c r="E7" i="3"/>
  <c r="E8" i="4" s="1"/>
  <c r="E10" i="2"/>
  <c r="E8" i="7" s="1"/>
  <c r="E5" i="2"/>
  <c r="F3" i="2"/>
  <c r="F4" i="2" s="1"/>
  <c r="E6" i="3"/>
  <c r="E7" i="4" s="1"/>
  <c r="E11" i="2"/>
  <c r="E9" i="7" s="1"/>
  <c r="E9" i="2"/>
  <c r="E7" i="7" s="1"/>
  <c r="D4" i="6"/>
  <c r="C19" i="3"/>
  <c r="C20" i="3" s="1"/>
  <c r="D9" i="4"/>
  <c r="D18" i="3"/>
  <c r="D21" i="7" s="1"/>
  <c r="D6" i="5"/>
  <c r="C6" i="4" l="1"/>
  <c r="C9" i="5"/>
  <c r="C10" i="3" s="1"/>
  <c r="C11" i="3" s="1"/>
  <c r="C13" i="2"/>
  <c r="C18" i="2" s="1"/>
  <c r="C15" i="2" s="1"/>
  <c r="C16" i="2" s="1"/>
  <c r="C10" i="7"/>
  <c r="C22" i="2"/>
  <c r="C23" i="2" s="1"/>
  <c r="C25" i="2" s="1"/>
  <c r="E4" i="5"/>
  <c r="E6" i="5" s="1"/>
  <c r="D8" i="5"/>
  <c r="D9" i="3"/>
  <c r="F5" i="5"/>
  <c r="F15" i="4" s="1"/>
  <c r="F17" i="4" s="1"/>
  <c r="F17" i="3"/>
  <c r="F10" i="4" s="1"/>
  <c r="F16" i="3"/>
  <c r="F6" i="3"/>
  <c r="F7" i="4" s="1"/>
  <c r="F11" i="2"/>
  <c r="F9" i="7" s="1"/>
  <c r="J14" i="7" s="1"/>
  <c r="F9" i="2"/>
  <c r="F7" i="7" s="1"/>
  <c r="J12" i="7" s="1"/>
  <c r="F7" i="3"/>
  <c r="F8" i="4" s="1"/>
  <c r="F10" i="2"/>
  <c r="F8" i="7" s="1"/>
  <c r="J13" i="7" s="1"/>
  <c r="F5" i="2"/>
  <c r="G3" i="2"/>
  <c r="G4" i="2" s="1"/>
  <c r="D6" i="6"/>
  <c r="D20" i="2" s="1"/>
  <c r="D5" i="6"/>
  <c r="D20" i="4" s="1"/>
  <c r="D22" i="4" s="1"/>
  <c r="E9" i="4"/>
  <c r="E18" i="3"/>
  <c r="E21" i="7" s="1"/>
  <c r="C10" i="5" l="1"/>
  <c r="D7" i="5"/>
  <c r="D9" i="5" s="1"/>
  <c r="E7" i="5" s="1"/>
  <c r="C19" i="2"/>
  <c r="C15" i="7"/>
  <c r="C14" i="7"/>
  <c r="C12" i="7"/>
  <c r="C13" i="7"/>
  <c r="C5" i="4"/>
  <c r="C12" i="4" s="1"/>
  <c r="C27" i="4" s="1"/>
  <c r="C22" i="3"/>
  <c r="C26" i="2"/>
  <c r="G16" i="3"/>
  <c r="G5" i="5"/>
  <c r="G15" i="4" s="1"/>
  <c r="G17" i="4" s="1"/>
  <c r="G17" i="3"/>
  <c r="G10" i="4" s="1"/>
  <c r="G7" i="3"/>
  <c r="G8" i="4" s="1"/>
  <c r="G10" i="2"/>
  <c r="G8" i="7" s="1"/>
  <c r="G6" i="3"/>
  <c r="G7" i="4" s="1"/>
  <c r="G11" i="2"/>
  <c r="G9" i="7" s="1"/>
  <c r="G9" i="2"/>
  <c r="G7" i="7" s="1"/>
  <c r="G5" i="2"/>
  <c r="F9" i="4"/>
  <c r="F18" i="3"/>
  <c r="F21" i="7" s="1"/>
  <c r="D6" i="4"/>
  <c r="D24" i="3"/>
  <c r="D12" i="2" s="1"/>
  <c r="E8" i="5"/>
  <c r="F4" i="5"/>
  <c r="F6" i="5" s="1"/>
  <c r="E9" i="3"/>
  <c r="D7" i="6"/>
  <c r="C25" i="4" l="1"/>
  <c r="D24" i="4" s="1"/>
  <c r="D10" i="5"/>
  <c r="D10" i="3"/>
  <c r="D11" i="3" s="1"/>
  <c r="D13" i="2"/>
  <c r="D18" i="2" s="1"/>
  <c r="D15" i="2" s="1"/>
  <c r="D16" i="2" s="1"/>
  <c r="D10" i="7"/>
  <c r="D22" i="2"/>
  <c r="D23" i="2" s="1"/>
  <c r="D25" i="2" s="1"/>
  <c r="E9" i="5"/>
  <c r="F7" i="5" s="1"/>
  <c r="D19" i="3"/>
  <c r="D20" i="3" s="1"/>
  <c r="E4" i="6"/>
  <c r="G4" i="5"/>
  <c r="G6" i="5" s="1"/>
  <c r="F8" i="5"/>
  <c r="F9" i="3"/>
  <c r="E24" i="3"/>
  <c r="E12" i="2" s="1"/>
  <c r="E6" i="4"/>
  <c r="G9" i="4"/>
  <c r="G18" i="3"/>
  <c r="G21" i="7" s="1"/>
  <c r="C23" i="3"/>
  <c r="C26" i="3" s="1"/>
  <c r="C5" i="3" s="1"/>
  <c r="C8" i="3" l="1"/>
  <c r="C13" i="3" s="1"/>
  <c r="C28" i="3" s="1"/>
  <c r="C19" i="7"/>
  <c r="D19" i="2"/>
  <c r="D15" i="7"/>
  <c r="D13" i="7"/>
  <c r="D14" i="7"/>
  <c r="D12" i="7"/>
  <c r="E13" i="2"/>
  <c r="E18" i="2" s="1"/>
  <c r="E15" i="2" s="1"/>
  <c r="E16" i="2" s="1"/>
  <c r="E10" i="7"/>
  <c r="E10" i="5"/>
  <c r="E10" i="3"/>
  <c r="E11" i="3" s="1"/>
  <c r="D5" i="4"/>
  <c r="D12" i="4" s="1"/>
  <c r="D27" i="4" s="1"/>
  <c r="D26" i="2"/>
  <c r="D22" i="3"/>
  <c r="E5" i="6"/>
  <c r="E20" i="4" s="1"/>
  <c r="E22" i="4" s="1"/>
  <c r="E6" i="6"/>
  <c r="E20" i="2" s="1"/>
  <c r="F6" i="4"/>
  <c r="F24" i="3"/>
  <c r="F12" i="2" s="1"/>
  <c r="G8" i="5"/>
  <c r="G9" i="3"/>
  <c r="F9" i="5"/>
  <c r="E19" i="2" l="1"/>
  <c r="D25" i="4"/>
  <c r="E24" i="4" s="1"/>
  <c r="E22" i="2"/>
  <c r="E23" i="2" s="1"/>
  <c r="E25" i="2" s="1"/>
  <c r="E15" i="7"/>
  <c r="E12" i="7"/>
  <c r="E13" i="7"/>
  <c r="E14" i="7"/>
  <c r="F13" i="2"/>
  <c r="F18" i="2" s="1"/>
  <c r="F15" i="2" s="1"/>
  <c r="F16" i="2" s="1"/>
  <c r="F10" i="7"/>
  <c r="J15" i="7" s="1"/>
  <c r="E7" i="6"/>
  <c r="G7" i="5"/>
  <c r="G9" i="5" s="1"/>
  <c r="F10" i="3"/>
  <c r="F11" i="3" s="1"/>
  <c r="F10" i="5"/>
  <c r="G24" i="3"/>
  <c r="G12" i="2" s="1"/>
  <c r="G6" i="4"/>
  <c r="D23" i="3"/>
  <c r="D26" i="3" s="1"/>
  <c r="D5" i="3" s="1"/>
  <c r="F19" i="2" l="1"/>
  <c r="D8" i="3"/>
  <c r="D13" i="3" s="1"/>
  <c r="D28" i="3" s="1"/>
  <c r="D19" i="7"/>
  <c r="G13" i="2"/>
  <c r="G18" i="2" s="1"/>
  <c r="G15" i="2" s="1"/>
  <c r="G16" i="2" s="1"/>
  <c r="G10" i="7"/>
  <c r="F15" i="7"/>
  <c r="F13" i="7"/>
  <c r="F14" i="7"/>
  <c r="F12" i="7"/>
  <c r="G19" i="2"/>
  <c r="E5" i="4"/>
  <c r="E12" i="4" s="1"/>
  <c r="E27" i="4" s="1"/>
  <c r="E26" i="2"/>
  <c r="E22" i="3"/>
  <c r="G10" i="3"/>
  <c r="G11" i="3" s="1"/>
  <c r="G10" i="5"/>
  <c r="F4" i="6"/>
  <c r="E19" i="3"/>
  <c r="E20" i="3" s="1"/>
  <c r="E25" i="4" l="1"/>
  <c r="F24" i="4" s="1"/>
  <c r="G15" i="7"/>
  <c r="G12" i="7"/>
  <c r="G13" i="7"/>
  <c r="G14" i="7"/>
  <c r="F6" i="6"/>
  <c r="F20" i="2" s="1"/>
  <c r="F22" i="2" s="1"/>
  <c r="F5" i="6"/>
  <c r="F20" i="4" s="1"/>
  <c r="F22" i="4" s="1"/>
  <c r="E23" i="3"/>
  <c r="E26" i="3" s="1"/>
  <c r="E5" i="3" s="1"/>
  <c r="E8" i="3" l="1"/>
  <c r="E13" i="3" s="1"/>
  <c r="E28" i="3" s="1"/>
  <c r="E19" i="7"/>
  <c r="F23" i="2"/>
  <c r="F25" i="2" s="1"/>
  <c r="F7" i="6"/>
  <c r="F5" i="4" l="1"/>
  <c r="F12" i="4" s="1"/>
  <c r="F27" i="4" s="1"/>
  <c r="F26" i="2"/>
  <c r="F22" i="3"/>
  <c r="F19" i="3"/>
  <c r="F20" i="3" s="1"/>
  <c r="G4" i="6"/>
  <c r="F25" i="4" l="1"/>
  <c r="G24" i="4" s="1"/>
  <c r="F23" i="3"/>
  <c r="F26" i="3" s="1"/>
  <c r="F5" i="3" s="1"/>
  <c r="G5" i="6"/>
  <c r="G20" i="4" s="1"/>
  <c r="G22" i="4" s="1"/>
  <c r="G6" i="6"/>
  <c r="G20" i="2" s="1"/>
  <c r="G22" i="2" s="1"/>
  <c r="F8" i="3" l="1"/>
  <c r="F13" i="3" s="1"/>
  <c r="F28" i="3" s="1"/>
  <c r="F19" i="7"/>
  <c r="G23" i="2"/>
  <c r="G25" i="2" s="1"/>
  <c r="G7" i="6"/>
  <c r="G19" i="3" s="1"/>
  <c r="G20" i="3" s="1"/>
  <c r="G5" i="4" l="1"/>
  <c r="G12" i="4" s="1"/>
  <c r="G27" i="4" s="1"/>
  <c r="G26" i="2"/>
  <c r="G22" i="3"/>
  <c r="G23" i="3" s="1"/>
  <c r="G26" i="3" s="1"/>
  <c r="G5" i="3" s="1"/>
  <c r="G8" i="3" l="1"/>
  <c r="G13" i="3" s="1"/>
  <c r="G28" i="3" s="1"/>
  <c r="G19" i="7"/>
  <c r="G25" i="4"/>
</calcChain>
</file>

<file path=xl/sharedStrings.xml><?xml version="1.0" encoding="utf-8"?>
<sst xmlns="http://schemas.openxmlformats.org/spreadsheetml/2006/main" count="161" uniqueCount="120">
  <si>
    <t>STARTUP FINANCIAL MODEL — KEY ASSUMPTIONS</t>
  </si>
  <si>
    <t>REVENUE ASSUMPTIONS</t>
  </si>
  <si>
    <t>Hardcoded input</t>
  </si>
  <si>
    <t>Revenue Growth Rate — Y2</t>
  </si>
  <si>
    <t>YoY growth</t>
  </si>
  <si>
    <t>Revenue Growth Rate — Y3</t>
  </si>
  <si>
    <t>Revenue Growth Rate — Y4</t>
  </si>
  <si>
    <t>Revenue Growth Rate — Y5</t>
  </si>
  <si>
    <t>Gross Margin %</t>
  </si>
  <si>
    <t>Product margin</t>
  </si>
  <si>
    <t>SG&amp;A ASSUMPTIONS</t>
  </si>
  <si>
    <t>Sales &amp; Marketing (% Revenue)</t>
  </si>
  <si>
    <t>Scales with rev</t>
  </si>
  <si>
    <t>General &amp; Admin (% Revenue)</t>
  </si>
  <si>
    <t>R&amp;D (% Revenue)</t>
  </si>
  <si>
    <t>CAPEX &amp; DEPRECIATION</t>
  </si>
  <si>
    <t>Capex (% Revenue)</t>
  </si>
  <si>
    <t>Maintenance + growth</t>
  </si>
  <si>
    <t>Useful Life (years)</t>
  </si>
  <si>
    <t>Straight-line depr.</t>
  </si>
  <si>
    <t>Y1 opening balance</t>
  </si>
  <si>
    <t>DEBT SCHEDULE</t>
  </si>
  <si>
    <t>Seed / Series A debt</t>
  </si>
  <si>
    <t>Annual Interest Rate</t>
  </si>
  <si>
    <t>7% fixed</t>
  </si>
  <si>
    <t>Straight amort.</t>
  </si>
  <si>
    <t>OTHER</t>
  </si>
  <si>
    <t>Tax Rate</t>
  </si>
  <si>
    <t>Cash on hand Y1 start</t>
  </si>
  <si>
    <t>Paid-in capital</t>
  </si>
  <si>
    <t>Metric</t>
  </si>
  <si>
    <t>Year 1</t>
  </si>
  <si>
    <t>Year 2</t>
  </si>
  <si>
    <t>Year 3</t>
  </si>
  <si>
    <t>Year 4</t>
  </si>
  <si>
    <t>Year 5</t>
  </si>
  <si>
    <t>Revenue</t>
  </si>
  <si>
    <t>Cost of Goods Sold</t>
  </si>
  <si>
    <t>Gross Profit</t>
  </si>
  <si>
    <t>Operating Expenses</t>
  </si>
  <si>
    <t>Sales &amp; Marketing</t>
  </si>
  <si>
    <t>General &amp; Administrative</t>
  </si>
  <si>
    <t>Research &amp; Development</t>
  </si>
  <si>
    <t>Depreciation</t>
  </si>
  <si>
    <t>Total Operating Expenses</t>
  </si>
  <si>
    <t>EBIT (Operating Income)</t>
  </si>
  <si>
    <t>Interest Expense</t>
  </si>
  <si>
    <t>EBT (Pre-Tax Income)</t>
  </si>
  <si>
    <t>Income Tax Expense</t>
  </si>
  <si>
    <t>Net Income</t>
  </si>
  <si>
    <t>Net Margin %</t>
  </si>
  <si>
    <t>ASSETS</t>
  </si>
  <si>
    <t>Cash &amp; Equivalents</t>
  </si>
  <si>
    <t>Accounts Receivable</t>
  </si>
  <si>
    <t>Inventory</t>
  </si>
  <si>
    <t>Total Current Assets</t>
  </si>
  <si>
    <t>PP&amp;E, Gross</t>
  </si>
  <si>
    <t>PP&amp;E, Net</t>
  </si>
  <si>
    <t>Total Assets</t>
  </si>
  <si>
    <t>LIABILITIES &amp; EQUITY</t>
  </si>
  <si>
    <t>Accounts Payable</t>
  </si>
  <si>
    <t>Accrued Liabilities</t>
  </si>
  <si>
    <t>Total Current Liabilities</t>
  </si>
  <si>
    <t>Long-Term Debt</t>
  </si>
  <si>
    <t>Total Liabilities</t>
  </si>
  <si>
    <t>Common Equity / Paid-In Capital</t>
  </si>
  <si>
    <t>Retained Earnings</t>
  </si>
  <si>
    <t>Total Stockholders' Equity</t>
  </si>
  <si>
    <t>Depreciation Expense (plug for IS)</t>
  </si>
  <si>
    <t>TOTAL LIABILITIES &amp; EQUITY</t>
  </si>
  <si>
    <t>Add: Depreciation &amp; Amortization</t>
  </si>
  <si>
    <t>Change in Accounts Receivable</t>
  </si>
  <si>
    <t>Change in Inventory</t>
  </si>
  <si>
    <t>Change in Accounts Payable</t>
  </si>
  <si>
    <t>Change in Accrued Liabilities</t>
  </si>
  <si>
    <t>Net Cash from Operations</t>
  </si>
  <si>
    <t>Capital Expenditures</t>
  </si>
  <si>
    <t>Net Cash from Investing</t>
  </si>
  <si>
    <t>Debt Repayment</t>
  </si>
  <si>
    <t>Net Cash from Financing</t>
  </si>
  <si>
    <t>Net Change in Cash</t>
  </si>
  <si>
    <t>Beginning Cash</t>
  </si>
  <si>
    <t>Ending Cash</t>
  </si>
  <si>
    <t>Beginning PP&amp;E, Gross</t>
  </si>
  <si>
    <t>Capital Expenditures (Additions)</t>
  </si>
  <si>
    <t>Ending PP&amp;E, Gross</t>
  </si>
  <si>
    <t>Accumulated Depreciation (Beg)</t>
  </si>
  <si>
    <t>Depreciation Expense</t>
  </si>
  <si>
    <t>Accumulated Depreciation (End)</t>
  </si>
  <si>
    <t>PP&amp;E, Net (Ending)</t>
  </si>
  <si>
    <t>Beginning Debt Balance</t>
  </si>
  <si>
    <t>Ending Debt Balance</t>
  </si>
  <si>
    <t>BALANCE SHEET (INR)</t>
  </si>
  <si>
    <t>CASH FLOW STATEMENT (INR)</t>
  </si>
  <si>
    <t>CAPEX &amp; DEPRECIATION SCHEDULE (INR)</t>
  </si>
  <si>
    <t>DEBT SCHEDULE (INR)</t>
  </si>
  <si>
    <t>Year 1 Revenue (INR)</t>
  </si>
  <si>
    <t>Beginning PP&amp;E, Net (INR)</t>
  </si>
  <si>
    <t>Beginning Debt (INR)</t>
  </si>
  <si>
    <t>Annual Debt Repayment (INR)</t>
  </si>
  <si>
    <t>Beginning Cash (INR)</t>
  </si>
  <si>
    <t>Beginning Equity (INR)</t>
  </si>
  <si>
    <t>Marginal Tax Rate in India</t>
  </si>
  <si>
    <t>Gross Margin Change</t>
  </si>
  <si>
    <t>Margin Increase as Scale goes up</t>
  </si>
  <si>
    <t>Operating Margin</t>
  </si>
  <si>
    <t>EBITDA</t>
  </si>
  <si>
    <t>EBITDA Margin</t>
  </si>
  <si>
    <t>Chart Formatting</t>
  </si>
  <si>
    <t>Income Statement (INR)</t>
  </si>
  <si>
    <t>Balance Sheet Check</t>
  </si>
  <si>
    <t>Financing Activities</t>
  </si>
  <si>
    <t>Investing Activities</t>
  </si>
  <si>
    <t>Operating Activities</t>
  </si>
  <si>
    <t>Chart of Balance Sheet</t>
  </si>
  <si>
    <t>Accumulated Depreciation</t>
  </si>
  <si>
    <t>Assets</t>
  </si>
  <si>
    <t>Liabilities</t>
  </si>
  <si>
    <t>Do Not Make Any Changes in this Sheet</t>
  </si>
  <si>
    <t>All figures in 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</si>
</sst>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;\(#,##0\);\-"/>
    <numFmt numFmtId="166" formatCode="0.0%;\(0.0%\);\-"/>
  </numFmts>
  <fonts count="2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666666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4"/>
      <color rgb="FF1F3864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16"/>
      <color rgb="FF1F3864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8"/>
      <color theme="3" tint="-0.499984740745262"/>
      <name val="Calibri"/>
      <family val="2"/>
      <scheme val="minor"/>
    </font>
    <font>
      <b/>
      <sz val="20"/>
      <color theme="3" tint="-0.499984740745262"/>
      <name val="Calibri"/>
      <family val="2"/>
      <scheme val="minor"/>
    </font>
    <font>
      <b/>
      <sz val="20"/>
      <color rgb="FF1F386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9E1F2"/>
        <bgColor rgb="FFE9EDF4"/>
      </patternFill>
    </fill>
    <fill>
      <patternFill patternType="solid">
        <fgColor rgb="FF1F3864"/>
        <bgColor rgb="FF333399"/>
      </patternFill>
    </fill>
    <fill>
      <patternFill patternType="solid">
        <fgColor rgb="FFE9EDF4"/>
        <bgColor rgb="FFD9E1F2"/>
      </patternFill>
    </fill>
    <fill>
      <patternFill patternType="solid">
        <fgColor theme="0"/>
        <bgColor rgb="FFE9EDF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rgb="FFE9EDF4"/>
      </patternFill>
    </fill>
    <fill>
      <patternFill patternType="solid">
        <fgColor theme="0"/>
        <bgColor rgb="FF333399"/>
      </patternFill>
    </fill>
    <fill>
      <patternFill patternType="solid">
        <fgColor theme="3" tint="-0.499984740745262"/>
        <bgColor rgb="FF333399"/>
      </patternFill>
    </fill>
    <fill>
      <patternFill patternType="solid">
        <fgColor rgb="FF00B0F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59999389629810485"/>
        <bgColor rgb="FFE9EDF4"/>
      </patternFill>
    </fill>
    <fill>
      <patternFill patternType="solid">
        <fgColor theme="8" tint="-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Border="0" applyAlignment="0" applyProtection="0"/>
  </cellStyleXfs>
  <cellXfs count="81">
    <xf numFmtId="0" fontId="0" fillId="0" borderId="0" xfId="0"/>
    <xf numFmtId="0" fontId="1" fillId="0" borderId="0" xfId="0" applyFont="1"/>
    <xf numFmtId="0" fontId="6" fillId="0" borderId="0" xfId="0" applyFont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8" fillId="0" borderId="0" xfId="0" applyFont="1" applyAlignment="1">
      <alignment horizontal="left"/>
    </xf>
    <xf numFmtId="165" fontId="10" fillId="0" borderId="0" xfId="0" applyNumberFormat="1" applyFont="1" applyAlignment="1">
      <alignment horizontal="right" vertical="center" indent="1"/>
    </xf>
    <xf numFmtId="0" fontId="10" fillId="0" borderId="0" xfId="0" applyFont="1" applyAlignment="1">
      <alignment horizontal="left" indent="1"/>
    </xf>
    <xf numFmtId="0" fontId="8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 indent="1"/>
    </xf>
    <xf numFmtId="0" fontId="11" fillId="0" borderId="0" xfId="0" applyFont="1" applyAlignment="1">
      <alignment horizontal="left" indent="2"/>
    </xf>
    <xf numFmtId="0" fontId="8" fillId="4" borderId="0" xfId="0" applyFont="1" applyFill="1" applyAlignment="1">
      <alignment horizontal="left" vertical="center"/>
    </xf>
    <xf numFmtId="0" fontId="1" fillId="6" borderId="0" xfId="0" applyFont="1" applyFill="1"/>
    <xf numFmtId="0" fontId="8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indent="2"/>
    </xf>
    <xf numFmtId="0" fontId="14" fillId="0" borderId="0" xfId="0" applyFont="1" applyBorder="1" applyAlignment="1">
      <alignment vertical="center"/>
    </xf>
    <xf numFmtId="0" fontId="7" fillId="3" borderId="0" xfId="0" applyFont="1" applyFill="1" applyBorder="1" applyAlignment="1">
      <alignment horizontal="right" vertical="center"/>
    </xf>
    <xf numFmtId="165" fontId="8" fillId="0" borderId="0" xfId="0" applyNumberFormat="1" applyFont="1" applyAlignment="1">
      <alignment horizontal="right" vertical="center" indent="1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Border="1" applyAlignment="1">
      <alignment horizontal="right" vertical="top"/>
    </xf>
    <xf numFmtId="0" fontId="11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0" fillId="0" borderId="5" xfId="0" applyFont="1" applyBorder="1" applyAlignment="1">
      <alignment horizontal="left" indent="1"/>
    </xf>
    <xf numFmtId="3" fontId="9" fillId="0" borderId="0" xfId="0" applyNumberFormat="1" applyFont="1" applyBorder="1" applyAlignment="1">
      <alignment horizontal="right" vertical="center" indent="1"/>
    </xf>
    <xf numFmtId="164" fontId="9" fillId="0" borderId="0" xfId="0" applyNumberFormat="1" applyFont="1" applyBorder="1" applyAlignment="1">
      <alignment horizontal="right" vertical="center" indent="1"/>
    </xf>
    <xf numFmtId="0" fontId="10" fillId="0" borderId="7" xfId="0" applyFont="1" applyBorder="1" applyAlignment="1">
      <alignment horizontal="left" indent="1"/>
    </xf>
    <xf numFmtId="164" fontId="9" fillId="0" borderId="1" xfId="0" applyNumberFormat="1" applyFont="1" applyBorder="1" applyAlignment="1">
      <alignment horizontal="right" vertical="center" indent="1"/>
    </xf>
    <xf numFmtId="3" fontId="9" fillId="0" borderId="1" xfId="0" applyNumberFormat="1" applyFont="1" applyBorder="1" applyAlignment="1">
      <alignment horizontal="right" vertical="center" indent="1"/>
    </xf>
    <xf numFmtId="0" fontId="3" fillId="7" borderId="2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4" fillId="0" borderId="0" xfId="0" applyFont="1"/>
    <xf numFmtId="0" fontId="1" fillId="0" borderId="0" xfId="0" applyFont="1" applyBorder="1"/>
    <xf numFmtId="166" fontId="11" fillId="0" borderId="0" xfId="0" applyNumberFormat="1" applyFont="1" applyAlignment="1">
      <alignment horizontal="right" vertical="center"/>
    </xf>
    <xf numFmtId="0" fontId="11" fillId="0" borderId="6" xfId="0" applyFont="1" applyBorder="1"/>
    <xf numFmtId="0" fontId="11" fillId="0" borderId="8" xfId="0" applyFont="1" applyBorder="1"/>
    <xf numFmtId="10" fontId="1" fillId="0" borderId="0" xfId="0" applyNumberFormat="1" applyFont="1"/>
    <xf numFmtId="0" fontId="7" fillId="9" borderId="0" xfId="0" applyFont="1" applyFill="1" applyBorder="1" applyAlignment="1">
      <alignment vertical="center"/>
    </xf>
    <xf numFmtId="0" fontId="7" fillId="9" borderId="0" xfId="0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8" fillId="2" borderId="0" xfId="0" applyFont="1" applyFill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165" fontId="8" fillId="2" borderId="0" xfId="0" applyNumberFormat="1" applyFont="1" applyFill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165" fontId="7" fillId="3" borderId="0" xfId="0" applyNumberFormat="1" applyFont="1" applyFill="1" applyAlignment="1">
      <alignment horizontal="right" vertical="center"/>
    </xf>
    <xf numFmtId="165" fontId="9" fillId="0" borderId="0" xfId="0" applyNumberFormat="1" applyFont="1" applyAlignment="1">
      <alignment horizontal="right" vertical="center"/>
    </xf>
    <xf numFmtId="0" fontId="8" fillId="4" borderId="0" xfId="0" applyFont="1" applyFill="1" applyAlignment="1">
      <alignment horizontal="right" vertical="center"/>
    </xf>
    <xf numFmtId="165" fontId="8" fillId="5" borderId="0" xfId="0" applyNumberFormat="1" applyFont="1" applyFill="1" applyAlignment="1">
      <alignment horizontal="right" vertical="center"/>
    </xf>
    <xf numFmtId="165" fontId="7" fillId="9" borderId="0" xfId="0" applyNumberFormat="1" applyFont="1" applyFill="1" applyAlignment="1">
      <alignment horizontal="right" vertical="center"/>
    </xf>
    <xf numFmtId="0" fontId="4" fillId="0" borderId="1" xfId="0" applyFont="1" applyBorder="1"/>
    <xf numFmtId="0" fontId="1" fillId="0" borderId="1" xfId="0" applyFont="1" applyBorder="1"/>
    <xf numFmtId="0" fontId="4" fillId="0" borderId="0" xfId="0" applyFont="1" applyAlignment="1">
      <alignment horizontal="right"/>
    </xf>
    <xf numFmtId="10" fontId="18" fillId="0" borderId="0" xfId="1" applyNumberFormat="1" applyFont="1"/>
    <xf numFmtId="0" fontId="3" fillId="10" borderId="0" xfId="0" applyFont="1" applyFill="1" applyAlignment="1">
      <alignment horizontal="center"/>
    </xf>
    <xf numFmtId="0" fontId="4" fillId="6" borderId="0" xfId="0" applyFont="1" applyFill="1"/>
    <xf numFmtId="0" fontId="7" fillId="8" borderId="0" xfId="0" applyFont="1" applyFill="1" applyAlignment="1">
      <alignment horizontal="left" vertical="center"/>
    </xf>
    <xf numFmtId="165" fontId="7" fillId="8" borderId="0" xfId="0" applyNumberFormat="1" applyFont="1" applyFill="1" applyAlignment="1">
      <alignment horizontal="right" vertical="center"/>
    </xf>
    <xf numFmtId="0" fontId="7" fillId="8" borderId="0" xfId="0" applyFont="1" applyFill="1" applyBorder="1" applyAlignment="1">
      <alignment vertical="center"/>
    </xf>
    <xf numFmtId="0" fontId="7" fillId="8" borderId="0" xfId="0" applyFont="1" applyFill="1" applyBorder="1" applyAlignment="1">
      <alignment horizontal="right" vertical="center"/>
    </xf>
    <xf numFmtId="165" fontId="19" fillId="0" borderId="0" xfId="0" applyNumberFormat="1" applyFont="1"/>
    <xf numFmtId="0" fontId="10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7" fillId="9" borderId="0" xfId="0" applyFont="1" applyFill="1" applyAlignment="1">
      <alignment horizontal="left" vertical="center"/>
    </xf>
    <xf numFmtId="165" fontId="18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/>
    </xf>
    <xf numFmtId="0" fontId="17" fillId="5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17" fillId="12" borderId="0" xfId="0" applyFont="1" applyFill="1" applyAlignment="1">
      <alignment horizontal="left" vertical="center"/>
    </xf>
    <xf numFmtId="0" fontId="8" fillId="12" borderId="0" xfId="0" applyFont="1" applyFill="1" applyAlignment="1">
      <alignment horizontal="left" vertical="center"/>
    </xf>
    <xf numFmtId="0" fontId="8" fillId="12" borderId="0" xfId="0" applyFont="1" applyFill="1" applyAlignment="1">
      <alignment horizontal="right" vertical="center"/>
    </xf>
    <xf numFmtId="0" fontId="21" fillId="0" borderId="0" xfId="0" applyFont="1" applyBorder="1" applyAlignment="1">
      <alignment vertical="center"/>
    </xf>
    <xf numFmtId="0" fontId="7" fillId="8" borderId="0" xfId="0" applyFont="1" applyFill="1" applyBorder="1" applyAlignment="1">
      <alignment horizontal="right" vertical="top"/>
    </xf>
    <xf numFmtId="0" fontId="16" fillId="11" borderId="0" xfId="0" applyFont="1" applyFill="1" applyAlignment="1">
      <alignment vertical="center"/>
    </xf>
    <xf numFmtId="0" fontId="5" fillId="11" borderId="0" xfId="0" applyFont="1" applyFill="1" applyAlignment="1">
      <alignment vertical="center"/>
    </xf>
    <xf numFmtId="0" fontId="3" fillId="13" borderId="0" xfId="0" applyFont="1" applyFill="1" applyBorder="1" applyAlignment="1">
      <alignment horizontal="center" vertical="center"/>
    </xf>
    <xf numFmtId="0" fontId="22" fillId="0" borderId="0" xfId="0" applyFont="1" applyBorder="1" applyAlignment="1">
      <alignment vertical="center"/>
    </xf>
    <xf numFmtId="0" fontId="3" fillId="13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/>
    </xf>
    <xf numFmtId="0" fontId="23" fillId="0" borderId="1" xfId="0" applyFont="1" applyBorder="1" applyAlignment="1">
      <alignment vertical="center"/>
    </xf>
    <xf numFmtId="165" fontId="18" fillId="0" borderId="0" xfId="0" applyNumberFormat="1" applyFont="1" applyAlignment="1">
      <alignment horizontal="righ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E9EDF4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C55A11"/>
      <rgbColor rgb="FF666666"/>
      <rgbColor rgb="FF969696"/>
      <rgbColor rgb="FF1F3864"/>
      <rgbColor rgb="FF339966"/>
      <rgbColor rgb="FF003300"/>
      <rgbColor rgb="FF333300"/>
      <rgbColor rgb="FF843C0C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bg1"/>
                </a:solidFill>
              </a:rPr>
              <a:t>Revenue, Gross</a:t>
            </a:r>
            <a:r>
              <a:rPr lang="en-IN" b="1" baseline="0">
                <a:solidFill>
                  <a:schemeClr val="bg1"/>
                </a:solidFill>
              </a:rPr>
              <a:t> Profit &amp; Margin</a:t>
            </a:r>
          </a:p>
        </c:rich>
      </c:tx>
      <c:layout>
        <c:manualLayout>
          <c:xMode val="edge"/>
          <c:yMode val="edge"/>
          <c:x val="6.2645325258205764E-2"/>
          <c:y val="1.8433175264420513E-2"/>
        </c:manualLayout>
      </c:layout>
      <c:overlay val="1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185645839769184E-2"/>
          <c:y val="9.8310268076909402E-2"/>
          <c:w val="0.88038596889484011"/>
          <c:h val="0.8246593793535373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'Income Statement'!$B$3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Statement'!$C$2:$G$2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'Income Statement'!$C$3:$G$3</c:f>
              <c:numCache>
                <c:formatCode>#,##0;\(#,##0\);\-</c:formatCode>
                <c:ptCount val="5"/>
                <c:pt idx="0">
                  <c:v>5400000</c:v>
                </c:pt>
                <c:pt idx="1">
                  <c:v>8100000</c:v>
                </c:pt>
                <c:pt idx="2">
                  <c:v>10935000</c:v>
                </c:pt>
                <c:pt idx="3">
                  <c:v>13668750</c:v>
                </c:pt>
                <c:pt idx="4">
                  <c:v>15719062.499999998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E-4793-9A1A-B615AEE62B44}"/>
            </c:ext>
          </c:extLst>
        </c:ser>
        <c:ser>
          <c:idx val="1"/>
          <c:order val="1"/>
          <c:tx>
            <c:strRef>
              <c:f>'Income Statement'!$B$5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Statement'!$C$2:$G$2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'Income Statement'!$C$5:$G$5</c:f>
              <c:numCache>
                <c:formatCode>#,##0;\(#,##0\);\-</c:formatCode>
                <c:ptCount val="5"/>
                <c:pt idx="0">
                  <c:v>3240000</c:v>
                </c:pt>
                <c:pt idx="1">
                  <c:v>5200200</c:v>
                </c:pt>
                <c:pt idx="2">
                  <c:v>7511688.9000000013</c:v>
                </c:pt>
                <c:pt idx="3">
                  <c:v>10046883.903750002</c:v>
                </c:pt>
                <c:pt idx="4">
                  <c:v>12362690.643564377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3FE-4793-9A1A-B615AEE62B44}"/>
            </c:ext>
          </c:extLst>
        </c:ser>
        <c:ser>
          <c:idx val="2"/>
          <c:order val="2"/>
          <c:tx>
            <c:strRef>
              <c:f>'Income Statement'!$B$15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Statement'!$C$2:$G$2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'Income Statement'!$C$15:$G$15</c:f>
              <c:numCache>
                <c:formatCode>#,##0;\(#,##0\);\-</c:formatCode>
                <c:ptCount val="5"/>
                <c:pt idx="0">
                  <c:v>1188000</c:v>
                </c:pt>
                <c:pt idx="1">
                  <c:v>2122200</c:v>
                </c:pt>
                <c:pt idx="2">
                  <c:v>3356388.9000000013</c:v>
                </c:pt>
                <c:pt idx="3">
                  <c:v>4852758.9037500024</c:v>
                </c:pt>
                <c:pt idx="4">
                  <c:v>6389446.893564377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3FE-4793-9A1A-B615AEE62B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38812096"/>
        <c:axId val="1807650352"/>
      </c:barChart>
      <c:catAx>
        <c:axId val="18388120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650352"/>
        <c:crosses val="autoZero"/>
        <c:auto val="1"/>
        <c:lblAlgn val="ctr"/>
        <c:lblOffset val="100"/>
        <c:noMultiLvlLbl val="0"/>
      </c:catAx>
      <c:valAx>
        <c:axId val="1807650352"/>
        <c:scaling>
          <c:orientation val="minMax"/>
        </c:scaling>
        <c:delete val="1"/>
        <c:axPos val="b"/>
        <c:numFmt formatCode="#,##0;\(#,##0\);\-" sourceLinked="1"/>
        <c:majorTickMark val="out"/>
        <c:minorTickMark val="none"/>
        <c:tickLblPos val="nextTo"/>
        <c:crossAx val="183881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5730278205912906"/>
          <c:y val="0.86155016082318181"/>
          <c:w val="0.32747460265883516"/>
          <c:h val="7.19777734115375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100" b="1">
                <a:solidFill>
                  <a:schemeClr val="bg1"/>
                </a:solidFill>
              </a:rPr>
              <a:t>Margin Trend</a:t>
            </a:r>
          </a:p>
        </c:rich>
      </c:tx>
      <c:layout>
        <c:manualLayout>
          <c:xMode val="edge"/>
          <c:yMode val="edge"/>
          <c:x val="0.78301625115031792"/>
          <c:y val="3.3507849719492687E-2"/>
        </c:manualLayout>
      </c:layout>
      <c:overlay val="1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'Income Statement'!$B$6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'Income Statement'!$C$2:$G$2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'Income Statement'!$C$6:$G$6</c:f>
              <c:numCache>
                <c:formatCode>0.0%;\(0.0%\);\-</c:formatCode>
                <c:ptCount val="5"/>
                <c:pt idx="0">
                  <c:v>0.6</c:v>
                </c:pt>
                <c:pt idx="1">
                  <c:v>0.64200000000000002</c:v>
                </c:pt>
                <c:pt idx="2">
                  <c:v>0.68694000000000011</c:v>
                </c:pt>
                <c:pt idx="3">
                  <c:v>0.73502580000000017</c:v>
                </c:pt>
                <c:pt idx="4">
                  <c:v>0.78647760600000027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77-4FA2-A835-A8FCD0056710}"/>
            </c:ext>
          </c:extLst>
        </c:ser>
        <c:ser>
          <c:idx val="1"/>
          <c:order val="1"/>
          <c:tx>
            <c:strRef>
              <c:f>'Income Statement'!$B$16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'Income Statement'!$C$2:$G$2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'Income Statement'!$C$16:$G$16</c:f>
              <c:numCache>
                <c:formatCode>0.0%;\(0.0%\);\-</c:formatCode>
                <c:ptCount val="5"/>
                <c:pt idx="0">
                  <c:v>0.22</c:v>
                </c:pt>
                <c:pt idx="1">
                  <c:v>0.26200000000000001</c:v>
                </c:pt>
                <c:pt idx="2">
                  <c:v>0.3069400000000001</c:v>
                </c:pt>
                <c:pt idx="3">
                  <c:v>0.35502580000000017</c:v>
                </c:pt>
                <c:pt idx="4">
                  <c:v>0.40647760600000016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77-4FA2-A835-A8FCD0056710}"/>
            </c:ext>
          </c:extLst>
        </c:ser>
        <c:ser>
          <c:idx val="2"/>
          <c:order val="2"/>
          <c:tx>
            <c:strRef>
              <c:f>'Income Statement'!$B$26</c:f>
              <c:strCache>
                <c:ptCount val="1"/>
                <c:pt idx="0">
                  <c:v>Net Margin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'Income Statement'!$C$2:$G$2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'Income Statement'!$C$26:$G$26</c:f>
              <c:numCache>
                <c:formatCode>0.0%;\(0.0%\);\-</c:formatCode>
                <c:ptCount val="5"/>
                <c:pt idx="0">
                  <c:v>0.10266666666666667</c:v>
                </c:pt>
                <c:pt idx="1">
                  <c:v>0.14278271604938272</c:v>
                </c:pt>
                <c:pt idx="2">
                  <c:v>0.1782192254229539</c:v>
                </c:pt>
                <c:pt idx="3">
                  <c:v>0.21256552227709205</c:v>
                </c:pt>
                <c:pt idx="4">
                  <c:v>0.2465829713441921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77-4FA2-A835-A8FCD0056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3857088"/>
        <c:axId val="1893990144"/>
      </c:lineChart>
      <c:catAx>
        <c:axId val="172385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990144"/>
        <c:crosses val="autoZero"/>
        <c:auto val="1"/>
        <c:lblAlgn val="ctr"/>
        <c:lblOffset val="100"/>
        <c:noMultiLvlLbl val="0"/>
      </c:catAx>
      <c:valAx>
        <c:axId val="1893990144"/>
        <c:scaling>
          <c:orientation val="minMax"/>
        </c:scaling>
        <c:delete val="0"/>
        <c:axPos val="l"/>
        <c:numFmt formatCode="0.0%;\(0.0%\);\-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85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050" b="1">
                <a:solidFill>
                  <a:schemeClr val="bg1"/>
                </a:solidFill>
              </a:rPr>
              <a:t>Operating</a:t>
            </a:r>
            <a:r>
              <a:rPr lang="en-IN" sz="1050" b="1" baseline="0">
                <a:solidFill>
                  <a:schemeClr val="bg1"/>
                </a:solidFill>
              </a:rPr>
              <a:t> Expense Bifurcation</a:t>
            </a:r>
            <a:endParaRPr lang="en-IN" sz="105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56256933508311446"/>
          <c:y val="2.527645710316543E-2"/>
        </c:manualLayout>
      </c:layout>
      <c:overlay val="1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E8-462D-9CAF-D9AB86E81A70}"/>
              </c:ext>
            </c:extLst>
          </c:dPt>
          <c:dPt>
            <c:idx val="1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E8-462D-9CAF-D9AB86E81A70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E8-462D-9CAF-D9AB86E81A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0E8-462D-9CAF-D9AB86E81A70}"/>
              </c:ext>
            </c:extLst>
          </c:dPt>
          <c:dLbls>
            <c:dLbl>
              <c:idx val="0"/>
              <c:layout>
                <c:manualLayout>
                  <c:x val="3.5072069116360453E-2"/>
                  <c:y val="-8.74373022788948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E8-462D-9CAF-D9AB86E81A70}"/>
                </c:ext>
              </c:extLst>
            </c:dLbl>
            <c:dLbl>
              <c:idx val="1"/>
              <c:layout>
                <c:manualLayout>
                  <c:x val="-0.10454422268378766"/>
                  <c:y val="-2.189850310651667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E8-462D-9CAF-D9AB86E81A70}"/>
                </c:ext>
              </c:extLst>
            </c:dLbl>
            <c:dLbl>
              <c:idx val="2"/>
              <c:layout>
                <c:manualLayout>
                  <c:x val="-5.3531301604955693E-2"/>
                  <c:y val="6.563913553359015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E8-462D-9CAF-D9AB86E81A70}"/>
                </c:ext>
              </c:extLst>
            </c:dLbl>
            <c:dLbl>
              <c:idx val="3"/>
              <c:layout>
                <c:manualLayout>
                  <c:x val="-0.14556606057261023"/>
                  <c:y val="0.1029218805207684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516168724058874"/>
                      <c:h val="0.1925302501216413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0E8-462D-9CAF-D9AB86E81A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Data_Sheet!$I$12:$I$15</c:f>
              <c:strCache>
                <c:ptCount val="4"/>
                <c:pt idx="0">
                  <c:v>Sales &amp; Marketing</c:v>
                </c:pt>
                <c:pt idx="1">
                  <c:v>General &amp; Administrative</c:v>
                </c:pt>
                <c:pt idx="2">
                  <c:v>Research &amp; Development</c:v>
                </c:pt>
                <c:pt idx="3">
                  <c:v>Depreciation</c:v>
                </c:pt>
              </c:strCache>
            </c:strRef>
          </c:cat>
          <c:val>
            <c:numRef>
              <c:f>Data_Sheet!$J$12:$J$15</c:f>
              <c:numCache>
                <c:formatCode>#,##0;\(#,##0\);\-</c:formatCode>
                <c:ptCount val="4"/>
                <c:pt idx="0">
                  <c:v>2187000</c:v>
                </c:pt>
                <c:pt idx="1">
                  <c:v>1093500</c:v>
                </c:pt>
                <c:pt idx="2">
                  <c:v>874800</c:v>
                </c:pt>
                <c:pt idx="3">
                  <c:v>544350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E8-462D-9CAF-D9AB86E81A7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Data_Sheet!$B$19</c:f>
              <c:strCache>
                <c:ptCount val="1"/>
                <c:pt idx="0">
                  <c:v>Total Current Assets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Data_Sheet!$C$6:$G$6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Data_Sheet!$C$19:$G$19</c:f>
              <c:numCache>
                <c:formatCode>#,##0;\(#,##0\);\-</c:formatCode>
                <c:ptCount val="5"/>
                <c:pt idx="0">
                  <c:v>2070400</c:v>
                </c:pt>
                <c:pt idx="1">
                  <c:v>3372940</c:v>
                </c:pt>
                <c:pt idx="2">
                  <c:v>5446167.2300000004</c:v>
                </c:pt>
                <c:pt idx="3">
                  <c:v>8467972.2126250025</c:v>
                </c:pt>
                <c:pt idx="4">
                  <c:v>12460325.350620067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44-44DC-A9BA-54066F03D9B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6051232"/>
        <c:axId val="1843483200"/>
      </c:lineChart>
      <c:catAx>
        <c:axId val="192605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483200"/>
        <c:crosses val="autoZero"/>
        <c:auto val="1"/>
        <c:lblAlgn val="ctr"/>
        <c:lblOffset val="100"/>
        <c:noMultiLvlLbl val="0"/>
      </c:catAx>
      <c:valAx>
        <c:axId val="1843483200"/>
        <c:scaling>
          <c:orientation val="minMax"/>
        </c:scaling>
        <c:delete val="0"/>
        <c:axPos val="l"/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05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Data_Sheet!$B$21</c:f>
              <c:strCache>
                <c:ptCount val="1"/>
                <c:pt idx="0">
                  <c:v>Total Liabilities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Data_Sheet!$C$6:$G$6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Data_Sheet!$C$21:$G$21</c:f>
              <c:numCache>
                <c:formatCode>#,##0;\(#,##0\);\-</c:formatCode>
                <c:ptCount val="5"/>
                <c:pt idx="0">
                  <c:v>932000</c:v>
                </c:pt>
                <c:pt idx="1">
                  <c:v>1048000</c:v>
                </c:pt>
                <c:pt idx="2">
                  <c:v>1174800</c:v>
                </c:pt>
                <c:pt idx="3">
                  <c:v>1293500</c:v>
                </c:pt>
                <c:pt idx="4">
                  <c:v>1357525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5-4544-90B6-BBCA6A9AE3B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6043232"/>
        <c:axId val="1893995136"/>
      </c:lineChart>
      <c:catAx>
        <c:axId val="192604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995136"/>
        <c:crosses val="autoZero"/>
        <c:auto val="1"/>
        <c:lblAlgn val="ctr"/>
        <c:lblOffset val="100"/>
        <c:noMultiLvlLbl val="0"/>
      </c:catAx>
      <c:valAx>
        <c:axId val="1893995136"/>
        <c:scaling>
          <c:orientation val="minMax"/>
        </c:scaling>
        <c:delete val="0"/>
        <c:axPos val="l"/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04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1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'Cash Flow Statement'!$B$12</c:f>
              <c:strCache>
                <c:ptCount val="1"/>
                <c:pt idx="0">
                  <c:v>Net Cash from Operations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'Cash Flow Statement'!$C$2:$G$2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'Cash Flow Statement'!$C$12:$G$12</c:f>
              <c:numCache>
                <c:formatCode>#,##0;\(#,##0\);\-</c:formatCode>
                <c:ptCount val="5"/>
                <c:pt idx="0">
                  <c:v>368400</c:v>
                </c:pt>
                <c:pt idx="1">
                  <c:v>1321540</c:v>
                </c:pt>
                <c:pt idx="2">
                  <c:v>2209677.2300000009</c:v>
                </c:pt>
                <c:pt idx="3">
                  <c:v>3313167.482625002</c:v>
                </c:pt>
                <c:pt idx="4">
                  <c:v>4509250.0129950643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A-4C5B-B80B-441E612F65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0866848"/>
        <c:axId val="2039002048"/>
      </c:barChart>
      <c:catAx>
        <c:axId val="157086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002048"/>
        <c:crosses val="autoZero"/>
        <c:auto val="1"/>
        <c:lblAlgn val="ctr"/>
        <c:lblOffset val="100"/>
        <c:noMultiLvlLbl val="0"/>
      </c:catAx>
      <c:valAx>
        <c:axId val="2039002048"/>
        <c:scaling>
          <c:orientation val="minMax"/>
        </c:scaling>
        <c:delete val="1"/>
        <c:axPos val="l"/>
        <c:numFmt formatCode="#,##0;\(#,##0\);\-" sourceLinked="1"/>
        <c:majorTickMark val="none"/>
        <c:minorTickMark val="none"/>
        <c:tickLblPos val="nextTo"/>
        <c:crossAx val="157086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5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56633375300894E-2"/>
          <c:y val="0.29284083081878637"/>
          <c:w val="0.90886733249398211"/>
          <c:h val="0.694323230169105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'Cash Flow Statement'!$B$17</c:f>
              <c:strCache>
                <c:ptCount val="1"/>
                <c:pt idx="0">
                  <c:v>Net Cash from Investing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'Cash Flow Statement'!$C$2:$G$2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'Cash Flow Statement'!$C$17:$G$17</c:f>
              <c:numCache>
                <c:formatCode>#,##0;\(#,##0\);\-</c:formatCode>
                <c:ptCount val="5"/>
                <c:pt idx="0">
                  <c:v>-270000</c:v>
                </c:pt>
                <c:pt idx="1">
                  <c:v>-405000</c:v>
                </c:pt>
                <c:pt idx="2">
                  <c:v>-546750</c:v>
                </c:pt>
                <c:pt idx="3">
                  <c:v>-683437.5</c:v>
                </c:pt>
                <c:pt idx="4">
                  <c:v>-785953.125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ED-493B-BE92-B04F7B8053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0866848"/>
        <c:axId val="2039002048"/>
      </c:barChart>
      <c:catAx>
        <c:axId val="157086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002048"/>
        <c:crosses val="autoZero"/>
        <c:auto val="1"/>
        <c:lblAlgn val="ctr"/>
        <c:lblOffset val="100"/>
        <c:noMultiLvlLbl val="0"/>
      </c:catAx>
      <c:valAx>
        <c:axId val="2039002048"/>
        <c:scaling>
          <c:orientation val="minMax"/>
        </c:scaling>
        <c:delete val="1"/>
        <c:axPos val="l"/>
        <c:numFmt formatCode="#,##0;\(#,##0\);\-" sourceLinked="1"/>
        <c:majorTickMark val="none"/>
        <c:minorTickMark val="none"/>
        <c:tickLblPos val="nextTo"/>
        <c:crossAx val="157086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5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56633375300894E-2"/>
          <c:y val="0.29284083081878637"/>
          <c:w val="0.90886733249398211"/>
          <c:h val="0.694323230169105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'Cash Flow Statement'!$B$27</c:f>
              <c:strCache>
                <c:ptCount val="1"/>
                <c:pt idx="0">
                  <c:v>Net Change in Cash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.1393634693822425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79-4713-87F7-E0EAEE011E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'Cash Flow Statement'!$C$2:$G$2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'Cash Flow Statement'!$C$27:$G$27</c:f>
              <c:numCache>
                <c:formatCode>#,##0;\(#,##0\);\-</c:formatCode>
                <c:ptCount val="5"/>
                <c:pt idx="0">
                  <c:v>-1600</c:v>
                </c:pt>
                <c:pt idx="1">
                  <c:v>816540</c:v>
                </c:pt>
                <c:pt idx="2">
                  <c:v>1562927.2300000009</c:v>
                </c:pt>
                <c:pt idx="3">
                  <c:v>2529729.982625002</c:v>
                </c:pt>
                <c:pt idx="4">
                  <c:v>3623296.8879950643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8-40FC-AFFF-2449DCC238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0866848"/>
        <c:axId val="2039002048"/>
      </c:barChart>
      <c:catAx>
        <c:axId val="157086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002048"/>
        <c:crosses val="autoZero"/>
        <c:auto val="1"/>
        <c:lblAlgn val="ctr"/>
        <c:lblOffset val="100"/>
        <c:noMultiLvlLbl val="0"/>
      </c:catAx>
      <c:valAx>
        <c:axId val="2039002048"/>
        <c:scaling>
          <c:orientation val="minMax"/>
        </c:scaling>
        <c:delete val="1"/>
        <c:axPos val="l"/>
        <c:numFmt formatCode="#,##0;\(#,##0\);\-" sourceLinked="1"/>
        <c:majorTickMark val="none"/>
        <c:minorTickMark val="none"/>
        <c:tickLblPos val="nextTo"/>
        <c:crossAx val="157086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4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'Cash Flow Statement'!$B$22</c:f>
              <c:strCache>
                <c:ptCount val="1"/>
                <c:pt idx="0">
                  <c:v>Net Cash from Financing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'Cash Flow Statement'!$C$2:$G$2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'Cash Flow Statement'!$C$22:$G$22</c:f>
              <c:numCache>
                <c:formatCode>#,##0;\(#,##0\);\-</c:formatCode>
                <c:ptCount val="5"/>
                <c:pt idx="0">
                  <c:v>-100000</c:v>
                </c:pt>
                <c:pt idx="1">
                  <c:v>-100000</c:v>
                </c:pt>
                <c:pt idx="2">
                  <c:v>-100000</c:v>
                </c:pt>
                <c:pt idx="3">
                  <c:v>-100000</c:v>
                </c:pt>
                <c:pt idx="4">
                  <c:v>-100000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F-40AD-966E-EDF876A52B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0866848"/>
        <c:axId val="2039002048"/>
      </c:barChart>
      <c:catAx>
        <c:axId val="157086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002048"/>
        <c:crosses val="autoZero"/>
        <c:auto val="1"/>
        <c:lblAlgn val="ctr"/>
        <c:lblOffset val="100"/>
        <c:noMultiLvlLbl val="0"/>
      </c:catAx>
      <c:valAx>
        <c:axId val="2039002048"/>
        <c:scaling>
          <c:orientation val="minMax"/>
        </c:scaling>
        <c:delete val="1"/>
        <c:axPos val="l"/>
        <c:numFmt formatCode="#,##0;\(#,##0\);\-" sourceLinked="1"/>
        <c:majorTickMark val="none"/>
        <c:minorTickMark val="none"/>
        <c:tickLblPos val="nextTo"/>
        <c:crossAx val="157086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71438</xdr:colOff>
      <xdr:row>26</xdr:row>
      <xdr:rowOff>23813</xdr:rowOff>
    </xdr:from>
    <xdr:to>
      <xdr:col>11</xdr:col>
      <xdr:colOff>11906</xdr:colOff>
      <xdr:row>43</xdr:row>
      <xdr:rowOff>83345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07E1DD-8C68-41B8-9BE9-EFC5892B6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119070</xdr:colOff>
      <xdr:row>14</xdr:row>
      <xdr:rowOff>71437</xdr:rowOff>
    </xdr:from>
    <xdr:to>
      <xdr:col>11</xdr:col>
      <xdr:colOff>11905</xdr:colOff>
      <xdr:row>25</xdr:row>
      <xdr:rowOff>130969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3FC5A7-2B74-4D28-891F-3BBF3B5D8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107156</xdr:colOff>
      <xdr:row>1</xdr:row>
      <xdr:rowOff>47625</xdr:rowOff>
    </xdr:from>
    <xdr:to>
      <xdr:col>11</xdr:col>
      <xdr:colOff>11906</xdr:colOff>
      <xdr:row>14</xdr:row>
      <xdr:rowOff>23812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81128B3-78A1-4E41-9D2D-51F9BEF73F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392893</xdr:colOff>
      <xdr:row>30</xdr:row>
      <xdr:rowOff>71437</xdr:rowOff>
    </xdr:from>
    <xdr:to>
      <xdr:col>7</xdr:col>
      <xdr:colOff>23799</xdr:colOff>
      <xdr:row>42</xdr:row>
      <xdr:rowOff>11908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7773D1-C7C6-4D50-9C91-853FA59D2F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11919</xdr:colOff>
      <xdr:row>30</xdr:row>
      <xdr:rowOff>71440</xdr:rowOff>
    </xdr:from>
    <xdr:to>
      <xdr:col>3</xdr:col>
      <xdr:colOff>154796</xdr:colOff>
      <xdr:row>42</xdr:row>
      <xdr:rowOff>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6FA254-1984-43F0-A8E7-63CE4D323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</xdr:colOff>
      <xdr:row>27</xdr:row>
      <xdr:rowOff>69056</xdr:rowOff>
    </xdr:from>
    <xdr:to>
      <xdr:col>3</xdr:col>
      <xdr:colOff>380999</xdr:colOff>
      <xdr:row>40</xdr:row>
      <xdr:rowOff>70882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FA129A-2EE3-4093-9856-323452447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11906</xdr:colOff>
      <xdr:row>40</xdr:row>
      <xdr:rowOff>130968</xdr:rowOff>
    </xdr:from>
    <xdr:to>
      <xdr:col>3</xdr:col>
      <xdr:colOff>392906</xdr:colOff>
      <xdr:row>53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5D60A0-2F92-4CAD-B3CC-BFAACF2F35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488156</xdr:colOff>
      <xdr:row>40</xdr:row>
      <xdr:rowOff>130969</xdr:rowOff>
    </xdr:from>
    <xdr:to>
      <xdr:col>7</xdr:col>
      <xdr:colOff>23812</xdr:colOff>
      <xdr:row>53</xdr:row>
      <xdr:rowOff>23813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833ECD-D248-4301-8DA4-89EBDB4CC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488156</xdr:colOff>
      <xdr:row>27</xdr:row>
      <xdr:rowOff>71437</xdr:rowOff>
    </xdr:from>
    <xdr:to>
      <xdr:col>7</xdr:col>
      <xdr:colOff>17857</xdr:colOff>
      <xdr:row>40</xdr:row>
      <xdr:rowOff>73263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DB35A3-DCB0-476B-BA72-06CEE8EBBB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B1:F31"/>
  <sheetViews>
    <sheetView showGridLines="0" tabSelected="1" zoomScale="80" zoomScaleNormal="80" workbookViewId="0">
      <selection activeCell="B1" sqref="B1"/>
    </sheetView>
  </sheetViews>
  <sheetFormatPr defaultColWidth="8.7109375" defaultRowHeight="15" x14ac:dyDescent="0.25"/>
  <cols>
    <col min="1" max="1" width="1.85546875" style="1" customWidth="1"/>
    <col min="2" max="2" width="38" style="1" customWidth="1"/>
    <col min="3" max="3" width="18" style="1" customWidth="1"/>
    <col min="4" max="4" width="31.5703125" style="1" bestFit="1" customWidth="1"/>
    <col min="5" max="5" width="8.7109375" style="1" customWidth="1"/>
    <col min="6" max="16384" width="8.7109375" style="1"/>
  </cols>
  <sheetData>
    <row r="1" spans="2:6" ht="30" customHeight="1" x14ac:dyDescent="0.25">
      <c r="B1" s="79" t="s">
        <v>0</v>
      </c>
      <c r="C1" s="21"/>
      <c r="D1" s="21"/>
    </row>
    <row r="2" spans="2:6" x14ac:dyDescent="0.25">
      <c r="B2" s="19" t="s">
        <v>119</v>
      </c>
      <c r="C2" s="14"/>
      <c r="D2" s="14"/>
    </row>
    <row r="3" spans="2:6" s="32" customFormat="1" x14ac:dyDescent="0.25">
      <c r="B3" s="19"/>
      <c r="C3" s="14"/>
      <c r="D3" s="14"/>
    </row>
    <row r="4" spans="2:6" x14ac:dyDescent="0.25">
      <c r="B4" s="28" t="s">
        <v>1</v>
      </c>
      <c r="C4" s="29"/>
      <c r="D4" s="30"/>
    </row>
    <row r="5" spans="2:6" x14ac:dyDescent="0.25">
      <c r="B5" s="22" t="s">
        <v>96</v>
      </c>
      <c r="C5" s="23">
        <v>5400000</v>
      </c>
      <c r="D5" s="34" t="s">
        <v>2</v>
      </c>
    </row>
    <row r="6" spans="2:6" x14ac:dyDescent="0.25">
      <c r="B6" s="22" t="s">
        <v>3</v>
      </c>
      <c r="C6" s="24">
        <v>0.5</v>
      </c>
      <c r="D6" s="34" t="s">
        <v>4</v>
      </c>
    </row>
    <row r="7" spans="2:6" x14ac:dyDescent="0.25">
      <c r="B7" s="22" t="s">
        <v>5</v>
      </c>
      <c r="C7" s="24">
        <v>0.35</v>
      </c>
      <c r="D7" s="34" t="s">
        <v>4</v>
      </c>
    </row>
    <row r="8" spans="2:6" x14ac:dyDescent="0.25">
      <c r="B8" s="22" t="s">
        <v>6</v>
      </c>
      <c r="C8" s="24">
        <v>0.25</v>
      </c>
      <c r="D8" s="34" t="s">
        <v>4</v>
      </c>
    </row>
    <row r="9" spans="2:6" x14ac:dyDescent="0.25">
      <c r="B9" s="22" t="s">
        <v>7</v>
      </c>
      <c r="C9" s="24">
        <v>0.15</v>
      </c>
      <c r="D9" s="34" t="s">
        <v>4</v>
      </c>
    </row>
    <row r="10" spans="2:6" x14ac:dyDescent="0.25">
      <c r="B10" s="22" t="s">
        <v>103</v>
      </c>
      <c r="C10" s="24">
        <v>7.0000000000000007E-2</v>
      </c>
      <c r="D10" s="34" t="s">
        <v>104</v>
      </c>
      <c r="F10" s="36"/>
    </row>
    <row r="11" spans="2:6" x14ac:dyDescent="0.25">
      <c r="B11" s="25" t="s">
        <v>8</v>
      </c>
      <c r="C11" s="26">
        <v>0.6</v>
      </c>
      <c r="D11" s="35" t="s">
        <v>9</v>
      </c>
    </row>
    <row r="13" spans="2:6" x14ac:dyDescent="0.25">
      <c r="B13" s="28" t="s">
        <v>10</v>
      </c>
      <c r="C13" s="29"/>
      <c r="D13" s="30"/>
    </row>
    <row r="14" spans="2:6" x14ac:dyDescent="0.25">
      <c r="B14" s="22" t="s">
        <v>11</v>
      </c>
      <c r="C14" s="24">
        <v>0.2</v>
      </c>
      <c r="D14" s="34" t="s">
        <v>12</v>
      </c>
    </row>
    <row r="15" spans="2:6" x14ac:dyDescent="0.25">
      <c r="B15" s="22" t="s">
        <v>13</v>
      </c>
      <c r="C15" s="24">
        <v>0.1</v>
      </c>
      <c r="D15" s="34" t="s">
        <v>12</v>
      </c>
    </row>
    <row r="16" spans="2:6" x14ac:dyDescent="0.25">
      <c r="B16" s="25" t="s">
        <v>14</v>
      </c>
      <c r="C16" s="26">
        <v>0.08</v>
      </c>
      <c r="D16" s="35" t="s">
        <v>12</v>
      </c>
    </row>
    <row r="18" spans="2:4" x14ac:dyDescent="0.25">
      <c r="B18" s="28" t="s">
        <v>15</v>
      </c>
      <c r="C18" s="29"/>
      <c r="D18" s="30"/>
    </row>
    <row r="19" spans="2:4" x14ac:dyDescent="0.25">
      <c r="B19" s="22" t="s">
        <v>16</v>
      </c>
      <c r="C19" s="24">
        <v>0.05</v>
      </c>
      <c r="D19" s="34" t="s">
        <v>17</v>
      </c>
    </row>
    <row r="20" spans="2:4" x14ac:dyDescent="0.25">
      <c r="B20" s="22" t="s">
        <v>18</v>
      </c>
      <c r="C20" s="23">
        <v>5</v>
      </c>
      <c r="D20" s="34" t="s">
        <v>19</v>
      </c>
    </row>
    <row r="21" spans="2:4" x14ac:dyDescent="0.25">
      <c r="B21" s="25" t="s">
        <v>97</v>
      </c>
      <c r="C21" s="27">
        <v>1400000</v>
      </c>
      <c r="D21" s="35" t="s">
        <v>20</v>
      </c>
    </row>
    <row r="23" spans="2:4" x14ac:dyDescent="0.25">
      <c r="B23" s="28" t="s">
        <v>21</v>
      </c>
      <c r="C23" s="29"/>
      <c r="D23" s="30"/>
    </row>
    <row r="24" spans="2:4" x14ac:dyDescent="0.25">
      <c r="B24" s="22" t="s">
        <v>98</v>
      </c>
      <c r="C24" s="23">
        <v>600000</v>
      </c>
      <c r="D24" s="34" t="s">
        <v>22</v>
      </c>
    </row>
    <row r="25" spans="2:4" x14ac:dyDescent="0.25">
      <c r="B25" s="22" t="s">
        <v>23</v>
      </c>
      <c r="C25" s="24">
        <v>7.0000000000000007E-2</v>
      </c>
      <c r="D25" s="34" t="s">
        <v>24</v>
      </c>
    </row>
    <row r="26" spans="2:4" x14ac:dyDescent="0.25">
      <c r="B26" s="25" t="s">
        <v>99</v>
      </c>
      <c r="C26" s="27">
        <v>100000</v>
      </c>
      <c r="D26" s="35" t="s">
        <v>25</v>
      </c>
    </row>
    <row r="28" spans="2:4" x14ac:dyDescent="0.25">
      <c r="B28" s="28" t="s">
        <v>26</v>
      </c>
      <c r="C28" s="29"/>
      <c r="D28" s="30"/>
    </row>
    <row r="29" spans="2:4" x14ac:dyDescent="0.25">
      <c r="B29" s="22" t="s">
        <v>27</v>
      </c>
      <c r="C29" s="24">
        <v>0.3</v>
      </c>
      <c r="D29" s="34" t="s">
        <v>102</v>
      </c>
    </row>
    <row r="30" spans="2:4" x14ac:dyDescent="0.25">
      <c r="B30" s="22" t="s">
        <v>100</v>
      </c>
      <c r="C30" s="23">
        <v>800000</v>
      </c>
      <c r="D30" s="34" t="s">
        <v>28</v>
      </c>
    </row>
    <row r="31" spans="2:4" x14ac:dyDescent="0.25">
      <c r="B31" s="25" t="s">
        <v>101</v>
      </c>
      <c r="C31" s="27">
        <v>2000000</v>
      </c>
      <c r="D31" s="35" t="s">
        <v>29</v>
      </c>
    </row>
  </sheetData>
  <pageMargins left="0.25" right="0.25" top="0.75" bottom="0.75" header="0.3" footer="0.3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  <pageSetUpPr fitToPage="1"/>
  </sheetPr>
  <dimension ref="B1:S26"/>
  <sheetViews>
    <sheetView showGridLines="0" zoomScale="80" zoomScaleNormal="80" workbookViewId="0">
      <selection activeCell="B3" sqref="B3"/>
    </sheetView>
  </sheetViews>
  <sheetFormatPr defaultColWidth="8.7109375" defaultRowHeight="15" x14ac:dyDescent="0.25"/>
  <cols>
    <col min="1" max="1" width="1.85546875" style="1" customWidth="1"/>
    <col min="2" max="2" width="38" style="1" customWidth="1"/>
    <col min="3" max="7" width="16" style="1" customWidth="1"/>
    <col min="8" max="11" width="15.7109375" style="1" customWidth="1"/>
    <col min="12" max="12" width="8.85546875" style="1" customWidth="1"/>
    <col min="13" max="14" width="15.7109375" style="1" hidden="1" customWidth="1"/>
    <col min="15" max="15" width="1.85546875" style="1" hidden="1" customWidth="1"/>
    <col min="16" max="16" width="15.7109375" style="1" hidden="1" customWidth="1"/>
    <col min="17" max="19" width="12.7109375" style="1" hidden="1" customWidth="1"/>
    <col min="20" max="16384" width="8.7109375" style="1"/>
  </cols>
  <sheetData>
    <row r="1" spans="2:15" ht="25.5" customHeight="1" x14ac:dyDescent="0.25">
      <c r="B1" s="76" t="s">
        <v>109</v>
      </c>
      <c r="C1" s="2"/>
      <c r="D1" s="2"/>
      <c r="E1" s="2"/>
      <c r="F1" s="2"/>
      <c r="G1" s="2"/>
      <c r="K1" s="75" t="s">
        <v>33</v>
      </c>
    </row>
    <row r="2" spans="2:15" x14ac:dyDescent="0.25">
      <c r="B2" s="37" t="s">
        <v>30</v>
      </c>
      <c r="C2" s="38" t="s">
        <v>31</v>
      </c>
      <c r="D2" s="38" t="s">
        <v>32</v>
      </c>
      <c r="E2" s="38" t="s">
        <v>33</v>
      </c>
      <c r="F2" s="38" t="s">
        <v>34</v>
      </c>
      <c r="G2" s="38" t="s">
        <v>35</v>
      </c>
    </row>
    <row r="3" spans="2:15" x14ac:dyDescent="0.25">
      <c r="B3" s="4" t="s">
        <v>36</v>
      </c>
      <c r="C3" s="46">
        <f>Assumptions!C5</f>
        <v>5400000</v>
      </c>
      <c r="D3" s="41">
        <f>C3*(1+Assumptions!C6)</f>
        <v>8100000</v>
      </c>
      <c r="E3" s="41">
        <f>D3*(1+Assumptions!C7)</f>
        <v>10935000</v>
      </c>
      <c r="F3" s="41">
        <f>E3*(1+Assumptions!C8)</f>
        <v>13668750</v>
      </c>
      <c r="G3" s="41">
        <f>F3*(1+Assumptions!C9)</f>
        <v>15719062.499999998</v>
      </c>
    </row>
    <row r="4" spans="2:15" x14ac:dyDescent="0.25">
      <c r="B4" s="6" t="s">
        <v>37</v>
      </c>
      <c r="C4" s="41">
        <f>-C3*(1-C6)</f>
        <v>-2160000</v>
      </c>
      <c r="D4" s="41">
        <f t="shared" ref="D4:G4" si="0">-D3*(1-D6)</f>
        <v>-2899800</v>
      </c>
      <c r="E4" s="41">
        <f t="shared" si="0"/>
        <v>-3423311.0999999987</v>
      </c>
      <c r="F4" s="41">
        <f t="shared" si="0"/>
        <v>-3621866.0962499976</v>
      </c>
      <c r="G4" s="41">
        <f t="shared" si="0"/>
        <v>-3356371.8564356202</v>
      </c>
    </row>
    <row r="5" spans="2:15" x14ac:dyDescent="0.25">
      <c r="B5" s="7" t="s">
        <v>38</v>
      </c>
      <c r="C5" s="42">
        <f>C3+C4</f>
        <v>3240000</v>
      </c>
      <c r="D5" s="42">
        <f>D3+D4</f>
        <v>5200200</v>
      </c>
      <c r="E5" s="42">
        <f>E3+E4</f>
        <v>7511688.9000000013</v>
      </c>
      <c r="F5" s="42">
        <f>F3+F4</f>
        <v>10046883.903750002</v>
      </c>
      <c r="G5" s="42">
        <f>G3+G4</f>
        <v>12362690.643564377</v>
      </c>
    </row>
    <row r="6" spans="2:15" x14ac:dyDescent="0.25">
      <c r="B6" s="8" t="s">
        <v>8</v>
      </c>
      <c r="C6" s="33">
        <f>Assumptions!C11</f>
        <v>0.6</v>
      </c>
      <c r="D6" s="33">
        <f>C6*(1+Assumptions!$C$10)</f>
        <v>0.64200000000000002</v>
      </c>
      <c r="E6" s="33">
        <f>D6*(1+Assumptions!$C$10)</f>
        <v>0.68694000000000011</v>
      </c>
      <c r="F6" s="33">
        <f>E6*(1+Assumptions!$C$10)</f>
        <v>0.73502580000000017</v>
      </c>
      <c r="G6" s="33">
        <f>F6*(1+Assumptions!$C$10)</f>
        <v>0.78647760600000027</v>
      </c>
    </row>
    <row r="7" spans="2:15" x14ac:dyDescent="0.25">
      <c r="B7" s="9"/>
      <c r="C7" s="33"/>
      <c r="D7" s="33"/>
      <c r="E7" s="33"/>
      <c r="F7" s="33"/>
      <c r="G7" s="33"/>
    </row>
    <row r="8" spans="2:15" x14ac:dyDescent="0.25">
      <c r="B8" s="10" t="s">
        <v>39</v>
      </c>
      <c r="C8" s="47"/>
      <c r="D8" s="47"/>
      <c r="E8" s="47"/>
      <c r="F8" s="47"/>
      <c r="G8" s="47"/>
    </row>
    <row r="9" spans="2:15" x14ac:dyDescent="0.25">
      <c r="B9" s="6" t="s">
        <v>40</v>
      </c>
      <c r="C9" s="41">
        <f>-C3*Assumptions!C14</f>
        <v>-1080000</v>
      </c>
      <c r="D9" s="41">
        <f>-D3*Assumptions!C14</f>
        <v>-1620000</v>
      </c>
      <c r="E9" s="41">
        <f>-E3*Assumptions!C14</f>
        <v>-2187000</v>
      </c>
      <c r="F9" s="41">
        <f>-F3*Assumptions!C14</f>
        <v>-2733750</v>
      </c>
      <c r="G9" s="41">
        <f>-G3*Assumptions!C14</f>
        <v>-3143812.5</v>
      </c>
    </row>
    <row r="10" spans="2:15" x14ac:dyDescent="0.25">
      <c r="B10" s="6" t="s">
        <v>41</v>
      </c>
      <c r="C10" s="41">
        <f>-C3*Assumptions!C15</f>
        <v>-540000</v>
      </c>
      <c r="D10" s="41">
        <f>-D3*Assumptions!C15</f>
        <v>-810000</v>
      </c>
      <c r="E10" s="41">
        <f>-E3*Assumptions!C15</f>
        <v>-1093500</v>
      </c>
      <c r="F10" s="41">
        <f>-F3*Assumptions!C15</f>
        <v>-1366875</v>
      </c>
      <c r="G10" s="41">
        <f>-G3*Assumptions!C15</f>
        <v>-1571906.25</v>
      </c>
    </row>
    <row r="11" spans="2:15" x14ac:dyDescent="0.25">
      <c r="B11" s="6" t="s">
        <v>42</v>
      </c>
      <c r="C11" s="41">
        <f>-C3*Assumptions!C16</f>
        <v>-432000</v>
      </c>
      <c r="D11" s="41">
        <f>-D3*Assumptions!C16</f>
        <v>-648000</v>
      </c>
      <c r="E11" s="41">
        <f>-E3*Assumptions!C16</f>
        <v>-874800</v>
      </c>
      <c r="F11" s="41">
        <f>-F3*Assumptions!C16</f>
        <v>-1093500</v>
      </c>
      <c r="G11" s="41">
        <f>-G3*Assumptions!C16</f>
        <v>-1257524.9999999998</v>
      </c>
    </row>
    <row r="12" spans="2:15" x14ac:dyDescent="0.25">
      <c r="B12" s="6" t="s">
        <v>43</v>
      </c>
      <c r="C12" s="43">
        <f>-'Balance Sheet'!C24</f>
        <v>-354000</v>
      </c>
      <c r="D12" s="43">
        <f>-'Balance Sheet'!D24</f>
        <v>-435000</v>
      </c>
      <c r="E12" s="43">
        <f>-'Balance Sheet'!E24</f>
        <v>-544350</v>
      </c>
      <c r="F12" s="43">
        <f>-'Balance Sheet'!F24</f>
        <v>-681037.5</v>
      </c>
      <c r="G12" s="43">
        <f>-'Balance Sheet'!G24</f>
        <v>-838228.125</v>
      </c>
    </row>
    <row r="13" spans="2:15" x14ac:dyDescent="0.25">
      <c r="B13" s="7" t="s">
        <v>44</v>
      </c>
      <c r="C13" s="42">
        <f>SUM(C9:C12)</f>
        <v>-2406000</v>
      </c>
      <c r="D13" s="42">
        <f>SUM(D9:D12)</f>
        <v>-3513000</v>
      </c>
      <c r="E13" s="42">
        <f>SUM(E9:E12)</f>
        <v>-4699650</v>
      </c>
      <c r="F13" s="42">
        <f>SUM(F9:F12)</f>
        <v>-5875162.5</v>
      </c>
      <c r="G13" s="42">
        <f>SUM(G9:G12)</f>
        <v>-6811471.875</v>
      </c>
      <c r="I13" s="11"/>
    </row>
    <row r="14" spans="2:15" s="11" customFormat="1" x14ac:dyDescent="0.25">
      <c r="B14" s="12"/>
      <c r="C14" s="48"/>
      <c r="D14" s="48"/>
      <c r="E14" s="48"/>
      <c r="F14" s="48"/>
      <c r="G14" s="48"/>
      <c r="O14" s="55"/>
    </row>
    <row r="15" spans="2:15" s="11" customFormat="1" x14ac:dyDescent="0.25">
      <c r="B15" s="7" t="s">
        <v>106</v>
      </c>
      <c r="C15" s="42">
        <f>C18-C12</f>
        <v>1188000</v>
      </c>
      <c r="D15" s="42">
        <f>D18-D12</f>
        <v>2122200</v>
      </c>
      <c r="E15" s="42">
        <f>E18-E12</f>
        <v>3356388.9000000013</v>
      </c>
      <c r="F15" s="42">
        <f>F18-F12</f>
        <v>4852758.9037500024</v>
      </c>
      <c r="G15" s="42">
        <f>G18-G12</f>
        <v>6389446.893564377</v>
      </c>
    </row>
    <row r="16" spans="2:15" s="11" customFormat="1" x14ac:dyDescent="0.25">
      <c r="B16" s="8" t="s">
        <v>107</v>
      </c>
      <c r="C16" s="33">
        <f>C15/C3</f>
        <v>0.22</v>
      </c>
      <c r="D16" s="33">
        <f t="shared" ref="D16:G16" si="1">D15/D3</f>
        <v>0.26200000000000001</v>
      </c>
      <c r="E16" s="33">
        <f t="shared" si="1"/>
        <v>0.3069400000000001</v>
      </c>
      <c r="F16" s="33">
        <f t="shared" si="1"/>
        <v>0.35502580000000017</v>
      </c>
      <c r="G16" s="33">
        <f t="shared" si="1"/>
        <v>0.40647760600000016</v>
      </c>
    </row>
    <row r="17" spans="2:9" s="11" customFormat="1" x14ac:dyDescent="0.25">
      <c r="B17" s="12"/>
      <c r="C17" s="48"/>
      <c r="D17" s="48"/>
      <c r="E17" s="48"/>
      <c r="F17" s="48"/>
      <c r="G17" s="48"/>
      <c r="I17" s="1"/>
    </row>
    <row r="18" spans="2:9" x14ac:dyDescent="0.25">
      <c r="B18" s="39" t="s">
        <v>45</v>
      </c>
      <c r="C18" s="49">
        <f>C5+C13</f>
        <v>834000</v>
      </c>
      <c r="D18" s="49">
        <f>D5+D13</f>
        <v>1687200</v>
      </c>
      <c r="E18" s="49">
        <f>E5+E13</f>
        <v>2812038.9000000013</v>
      </c>
      <c r="F18" s="49">
        <f>F5+F13</f>
        <v>4171721.4037500024</v>
      </c>
      <c r="G18" s="49">
        <f>G5+G13</f>
        <v>5551218.768564377</v>
      </c>
      <c r="I18" s="11"/>
    </row>
    <row r="19" spans="2:9" s="11" customFormat="1" x14ac:dyDescent="0.25">
      <c r="B19" s="8" t="s">
        <v>105</v>
      </c>
      <c r="C19" s="33">
        <f>C18/C3</f>
        <v>0.15444444444444444</v>
      </c>
      <c r="D19" s="33">
        <f>D18/D3</f>
        <v>0.20829629629629628</v>
      </c>
      <c r="E19" s="33">
        <f>E18/E3</f>
        <v>0.25715947873799738</v>
      </c>
      <c r="F19" s="33">
        <f>F18/F3</f>
        <v>0.30520138299039801</v>
      </c>
      <c r="G19" s="33">
        <f>G18/G3</f>
        <v>0.35315202599165041</v>
      </c>
      <c r="I19" s="1"/>
    </row>
    <row r="20" spans="2:9" x14ac:dyDescent="0.25">
      <c r="B20" s="6" t="s">
        <v>46</v>
      </c>
      <c r="C20" s="43">
        <f>-'Debt Schedule'!C6</f>
        <v>-42000.000000000007</v>
      </c>
      <c r="D20" s="43">
        <f>-'Debt Schedule'!D6</f>
        <v>-35000</v>
      </c>
      <c r="E20" s="43">
        <f>-'Debt Schedule'!E6</f>
        <v>-28000.000000000004</v>
      </c>
      <c r="F20" s="43">
        <f>-'Debt Schedule'!F6</f>
        <v>-21000.000000000004</v>
      </c>
      <c r="G20" s="43">
        <f>-'Debt Schedule'!G6</f>
        <v>-14000.000000000002</v>
      </c>
    </row>
    <row r="21" spans="2:9" x14ac:dyDescent="0.25">
      <c r="B21" s="13"/>
      <c r="C21" s="43"/>
      <c r="D21" s="43"/>
      <c r="E21" s="43"/>
      <c r="F21" s="43"/>
      <c r="G21" s="43"/>
    </row>
    <row r="22" spans="2:9" x14ac:dyDescent="0.25">
      <c r="B22" s="7" t="s">
        <v>47</v>
      </c>
      <c r="C22" s="42">
        <f>C18+C20</f>
        <v>792000</v>
      </c>
      <c r="D22" s="42">
        <f>D18+D20</f>
        <v>1652200</v>
      </c>
      <c r="E22" s="42">
        <f>E18+E20</f>
        <v>2784038.9000000013</v>
      </c>
      <c r="F22" s="42">
        <f>F18+F20</f>
        <v>4150721.4037500024</v>
      </c>
      <c r="G22" s="42">
        <f>G18+G20</f>
        <v>5537218.768564377</v>
      </c>
    </row>
    <row r="23" spans="2:9" x14ac:dyDescent="0.25">
      <c r="B23" s="6" t="s">
        <v>48</v>
      </c>
      <c r="C23" s="41">
        <f>IF(C22&gt;0,-C22*Assumptions!C29,0)</f>
        <v>-237600</v>
      </c>
      <c r="D23" s="41">
        <f>IF(D22&gt;0,-D22*Assumptions!C29,0)</f>
        <v>-495660</v>
      </c>
      <c r="E23" s="41">
        <f>IF(E22&gt;0,-E22*Assumptions!C29,0)</f>
        <v>-835211.67000000039</v>
      </c>
      <c r="F23" s="41">
        <f>IF(F22&gt;0,-F22*Assumptions!C29,0)</f>
        <v>-1245216.4211250006</v>
      </c>
      <c r="G23" s="41">
        <f>IF(G22&gt;0,-G22*Assumptions!C29,0)</f>
        <v>-1661165.630569313</v>
      </c>
    </row>
    <row r="24" spans="2:9" x14ac:dyDescent="0.25">
      <c r="B24" s="13"/>
      <c r="C24" s="41"/>
      <c r="D24" s="41"/>
      <c r="E24" s="41"/>
      <c r="F24" s="41"/>
      <c r="G24" s="41"/>
    </row>
    <row r="25" spans="2:9" x14ac:dyDescent="0.25">
      <c r="B25" s="39" t="s">
        <v>49</v>
      </c>
      <c r="C25" s="49">
        <f>C22+C23</f>
        <v>554400</v>
      </c>
      <c r="D25" s="49">
        <f>D22+D23</f>
        <v>1156540</v>
      </c>
      <c r="E25" s="49">
        <f>E22+E23</f>
        <v>1948827.2300000009</v>
      </c>
      <c r="F25" s="49">
        <f>F22+F23</f>
        <v>2905504.982625002</v>
      </c>
      <c r="G25" s="49">
        <f>G22+G23</f>
        <v>3876053.1379950643</v>
      </c>
    </row>
    <row r="26" spans="2:9" x14ac:dyDescent="0.25">
      <c r="B26" s="8" t="s">
        <v>50</v>
      </c>
      <c r="C26" s="33">
        <f>IF(C3=0,0,C25/C3)</f>
        <v>0.10266666666666667</v>
      </c>
      <c r="D26" s="33">
        <f>IF(D3=0,0,D25/D3)</f>
        <v>0.14278271604938272</v>
      </c>
      <c r="E26" s="33">
        <f>IF(E3=0,0,E25/E3)</f>
        <v>0.1782192254229539</v>
      </c>
      <c r="F26" s="33">
        <f>IF(F3=0,0,F25/F3)</f>
        <v>0.21256552227709205</v>
      </c>
      <c r="G26" s="33">
        <f>IF(G3=0,0,G25/G3)</f>
        <v>0.2465829713441921</v>
      </c>
    </row>
  </sheetData>
  <printOptions horizontalCentered="1" verticalCentered="1"/>
  <pageMargins left="0.25" right="0.25" top="0.75" bottom="0.75" header="0.3" footer="0.3"/>
  <pageSetup paperSize="9" scale="74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D69386-4672-4CB8-99C4-D02503F1386A}">
          <x14:formula1>
            <xm:f>Data_Sheet!$I$6:$I$10</xm:f>
          </x14:formula1>
          <xm:sqref>K1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  <pageSetUpPr fitToPage="1"/>
  </sheetPr>
  <dimension ref="B1:L30"/>
  <sheetViews>
    <sheetView showGridLines="0" zoomScale="80" zoomScaleNormal="80" workbookViewId="0">
      <selection activeCell="B3" sqref="B3"/>
    </sheetView>
  </sheetViews>
  <sheetFormatPr defaultColWidth="8.7109375" defaultRowHeight="15" x14ac:dyDescent="0.25"/>
  <cols>
    <col min="1" max="1" width="1.85546875" style="1" customWidth="1"/>
    <col min="2" max="2" width="38" style="1" customWidth="1"/>
    <col min="3" max="7" width="16" style="1" customWidth="1"/>
    <col min="8" max="8" width="2.28515625" style="1" customWidth="1"/>
    <col min="9" max="12" width="8.7109375" style="1" hidden="1" customWidth="1"/>
    <col min="13" max="13" width="1" style="1" customWidth="1"/>
    <col min="14" max="16384" width="8.7109375" style="1"/>
  </cols>
  <sheetData>
    <row r="1" spans="2:7" ht="25.5" customHeight="1" x14ac:dyDescent="0.25">
      <c r="B1" s="20" t="s">
        <v>92</v>
      </c>
      <c r="C1" s="2"/>
      <c r="D1" s="2"/>
      <c r="E1" s="2"/>
      <c r="F1" s="2"/>
      <c r="G1" s="2"/>
    </row>
    <row r="2" spans="2:7" x14ac:dyDescent="0.25">
      <c r="B2" s="3" t="s">
        <v>30</v>
      </c>
      <c r="C2" s="15" t="s">
        <v>31</v>
      </c>
      <c r="D2" s="15" t="s">
        <v>32</v>
      </c>
      <c r="E2" s="15" t="s">
        <v>33</v>
      </c>
      <c r="F2" s="15" t="s">
        <v>34</v>
      </c>
      <c r="G2" s="15" t="s">
        <v>35</v>
      </c>
    </row>
    <row r="3" spans="2:7" s="11" customFormat="1" x14ac:dyDescent="0.25">
      <c r="B3" s="58"/>
      <c r="C3" s="59"/>
      <c r="D3" s="59"/>
      <c r="E3" s="59"/>
      <c r="F3" s="59"/>
      <c r="G3" s="59"/>
    </row>
    <row r="4" spans="2:7" x14ac:dyDescent="0.25">
      <c r="B4" s="7" t="s">
        <v>51</v>
      </c>
      <c r="C4" s="7"/>
      <c r="D4" s="7"/>
      <c r="E4" s="7"/>
      <c r="F4" s="7"/>
      <c r="G4" s="7"/>
    </row>
    <row r="5" spans="2:7" x14ac:dyDescent="0.25">
      <c r="B5" s="6" t="s">
        <v>52</v>
      </c>
      <c r="C5" s="41">
        <f>C26-C6-C7-C11</f>
        <v>1098400</v>
      </c>
      <c r="D5" s="41">
        <f>D26-D6-D7-D11</f>
        <v>1914940</v>
      </c>
      <c r="E5" s="41">
        <f>E26-E6-E7-E11</f>
        <v>3477867.2300000004</v>
      </c>
      <c r="F5" s="41">
        <f>F26-F6-F7-F11</f>
        <v>6007597.2126250025</v>
      </c>
      <c r="G5" s="41">
        <f>G26-G6-G7-G11</f>
        <v>9630894.1006200667</v>
      </c>
    </row>
    <row r="6" spans="2:7" x14ac:dyDescent="0.25">
      <c r="B6" s="6" t="s">
        <v>53</v>
      </c>
      <c r="C6" s="41">
        <f>'Income Statement'!C3*0.1</f>
        <v>540000</v>
      </c>
      <c r="D6" s="41">
        <f>'Income Statement'!D3*0.1</f>
        <v>810000</v>
      </c>
      <c r="E6" s="41">
        <f>'Income Statement'!E3*0.1</f>
        <v>1093500</v>
      </c>
      <c r="F6" s="41">
        <f>'Income Statement'!F3*0.1</f>
        <v>1366875</v>
      </c>
      <c r="G6" s="41">
        <f>'Income Statement'!G3*0.1</f>
        <v>1571906.25</v>
      </c>
    </row>
    <row r="7" spans="2:7" x14ac:dyDescent="0.25">
      <c r="B7" s="6" t="s">
        <v>54</v>
      </c>
      <c r="C7" s="41">
        <f>'Income Statement'!C3*0.08</f>
        <v>432000</v>
      </c>
      <c r="D7" s="41">
        <f>'Income Statement'!D3*0.08</f>
        <v>648000</v>
      </c>
      <c r="E7" s="41">
        <f>'Income Statement'!E3*0.08</f>
        <v>874800</v>
      </c>
      <c r="F7" s="41">
        <f>'Income Statement'!F3*0.08</f>
        <v>1093500</v>
      </c>
      <c r="G7" s="41">
        <f>'Income Statement'!G3*0.08</f>
        <v>1257524.9999999998</v>
      </c>
    </row>
    <row r="8" spans="2:7" x14ac:dyDescent="0.25">
      <c r="B8" s="7" t="s">
        <v>55</v>
      </c>
      <c r="C8" s="42">
        <f>C5+C6+C7</f>
        <v>2070400</v>
      </c>
      <c r="D8" s="42">
        <f>D5+D6+D7</f>
        <v>3372940</v>
      </c>
      <c r="E8" s="42">
        <f>E5+E6+E7</f>
        <v>5446167.2300000004</v>
      </c>
      <c r="F8" s="42">
        <f>F5+F6+F7</f>
        <v>8467972.2126250025</v>
      </c>
      <c r="G8" s="42">
        <f>G5+G6+G7</f>
        <v>12460325.350620067</v>
      </c>
    </row>
    <row r="9" spans="2:7" x14ac:dyDescent="0.25">
      <c r="B9" s="6" t="s">
        <v>56</v>
      </c>
      <c r="C9" s="43">
        <f>'Capex Schedule'!C6</f>
        <v>1770000</v>
      </c>
      <c r="D9" s="43">
        <f>'Capex Schedule'!D6</f>
        <v>2175000</v>
      </c>
      <c r="E9" s="43">
        <f>'Capex Schedule'!E6</f>
        <v>2721750</v>
      </c>
      <c r="F9" s="43">
        <f>'Capex Schedule'!F6</f>
        <v>3405187.5</v>
      </c>
      <c r="G9" s="43">
        <f>'Capex Schedule'!G6</f>
        <v>4191140.625</v>
      </c>
    </row>
    <row r="10" spans="2:7" x14ac:dyDescent="0.25">
      <c r="B10" s="6" t="s">
        <v>115</v>
      </c>
      <c r="C10" s="43">
        <f>-'Capex Schedule'!C9</f>
        <v>-354000</v>
      </c>
      <c r="D10" s="43">
        <f>-'Capex Schedule'!D9</f>
        <v>-789000</v>
      </c>
      <c r="E10" s="43">
        <f>-'Capex Schedule'!E9</f>
        <v>-1333350</v>
      </c>
      <c r="F10" s="43">
        <f>-'Capex Schedule'!F9</f>
        <v>-2014387.5</v>
      </c>
      <c r="G10" s="43">
        <f>-'Capex Schedule'!G9</f>
        <v>-2852615.625</v>
      </c>
    </row>
    <row r="11" spans="2:7" x14ac:dyDescent="0.25">
      <c r="B11" s="6" t="s">
        <v>57</v>
      </c>
      <c r="C11" s="44">
        <f>C9+C10</f>
        <v>1416000</v>
      </c>
      <c r="D11" s="44">
        <f>D9+D10</f>
        <v>1386000</v>
      </c>
      <c r="E11" s="44">
        <f>E9+E10</f>
        <v>1388400</v>
      </c>
      <c r="F11" s="44">
        <f>F9+F10</f>
        <v>1390800</v>
      </c>
      <c r="G11" s="44">
        <f>G9+G10</f>
        <v>1338525</v>
      </c>
    </row>
    <row r="12" spans="2:7" x14ac:dyDescent="0.25">
      <c r="B12" s="13"/>
      <c r="C12" s="44"/>
      <c r="D12" s="44"/>
      <c r="E12" s="44"/>
      <c r="F12" s="44"/>
      <c r="G12" s="44"/>
    </row>
    <row r="13" spans="2:7" x14ac:dyDescent="0.25">
      <c r="B13" s="17" t="s">
        <v>58</v>
      </c>
      <c r="C13" s="45">
        <f>C8+C11</f>
        <v>3486400</v>
      </c>
      <c r="D13" s="45">
        <f>D8+D11</f>
        <v>4758940</v>
      </c>
      <c r="E13" s="45">
        <f>E8+E11</f>
        <v>6834567.2300000004</v>
      </c>
      <c r="F13" s="45">
        <f>F8+F11</f>
        <v>9858772.2126250025</v>
      </c>
      <c r="G13" s="45">
        <f>G8+G11</f>
        <v>13798850.350620067</v>
      </c>
    </row>
    <row r="14" spans="2:7" s="11" customFormat="1" x14ac:dyDescent="0.25">
      <c r="B14" s="56"/>
      <c r="C14" s="57"/>
      <c r="D14" s="57"/>
      <c r="E14" s="57"/>
      <c r="F14" s="57"/>
      <c r="G14" s="57"/>
    </row>
    <row r="15" spans="2:7" x14ac:dyDescent="0.25">
      <c r="B15" s="7" t="s">
        <v>59</v>
      </c>
      <c r="C15" s="40"/>
      <c r="D15" s="40"/>
      <c r="E15" s="40"/>
      <c r="F15" s="40"/>
      <c r="G15" s="40"/>
    </row>
    <row r="16" spans="2:7" x14ac:dyDescent="0.25">
      <c r="B16" s="6" t="s">
        <v>60</v>
      </c>
      <c r="C16" s="41">
        <f>'Income Statement'!C3*0.05</f>
        <v>270000</v>
      </c>
      <c r="D16" s="41">
        <f>'Income Statement'!D3*0.05</f>
        <v>405000</v>
      </c>
      <c r="E16" s="41">
        <f>'Income Statement'!E3*0.05</f>
        <v>546750</v>
      </c>
      <c r="F16" s="41">
        <f>'Income Statement'!F3*0.05</f>
        <v>683437.5</v>
      </c>
      <c r="G16" s="41">
        <f>'Income Statement'!G3*0.05</f>
        <v>785953.125</v>
      </c>
    </row>
    <row r="17" spans="2:7" x14ac:dyDescent="0.25">
      <c r="B17" s="6" t="s">
        <v>61</v>
      </c>
      <c r="C17" s="41">
        <f>'Income Statement'!C3*0.03</f>
        <v>162000</v>
      </c>
      <c r="D17" s="41">
        <f>'Income Statement'!D3*0.03</f>
        <v>243000</v>
      </c>
      <c r="E17" s="41">
        <f>'Income Statement'!E3*0.03</f>
        <v>328050</v>
      </c>
      <c r="F17" s="41">
        <f>'Income Statement'!F3*0.03</f>
        <v>410062.5</v>
      </c>
      <c r="G17" s="41">
        <f>'Income Statement'!G3*0.03</f>
        <v>471571.87499999994</v>
      </c>
    </row>
    <row r="18" spans="2:7" x14ac:dyDescent="0.25">
      <c r="B18" s="7" t="s">
        <v>62</v>
      </c>
      <c r="C18" s="42">
        <f>C16+C17</f>
        <v>432000</v>
      </c>
      <c r="D18" s="42">
        <f>D16+D17</f>
        <v>648000</v>
      </c>
      <c r="E18" s="42">
        <f>E16+E17</f>
        <v>874800</v>
      </c>
      <c r="F18" s="42">
        <f>F16+F17</f>
        <v>1093500</v>
      </c>
      <c r="G18" s="42">
        <f>G16+G17</f>
        <v>1257525</v>
      </c>
    </row>
    <row r="19" spans="2:7" x14ac:dyDescent="0.25">
      <c r="B19" s="6" t="s">
        <v>63</v>
      </c>
      <c r="C19" s="43">
        <f>'Debt Schedule'!C7</f>
        <v>500000</v>
      </c>
      <c r="D19" s="43">
        <f>'Debt Schedule'!D7</f>
        <v>400000</v>
      </c>
      <c r="E19" s="43">
        <f>'Debt Schedule'!E7</f>
        <v>300000</v>
      </c>
      <c r="F19" s="43">
        <f>'Debt Schedule'!F7</f>
        <v>200000</v>
      </c>
      <c r="G19" s="43">
        <f>'Debt Schedule'!G7</f>
        <v>100000</v>
      </c>
    </row>
    <row r="20" spans="2:7" x14ac:dyDescent="0.25">
      <c r="B20" s="7" t="s">
        <v>64</v>
      </c>
      <c r="C20" s="42">
        <f>C18+C19</f>
        <v>932000</v>
      </c>
      <c r="D20" s="42">
        <f>D18+D19</f>
        <v>1048000</v>
      </c>
      <c r="E20" s="42">
        <f>E18+E19</f>
        <v>1174800</v>
      </c>
      <c r="F20" s="42">
        <f>F18+F19</f>
        <v>1293500</v>
      </c>
      <c r="G20" s="42">
        <f>G18+G19</f>
        <v>1357525</v>
      </c>
    </row>
    <row r="21" spans="2:7" x14ac:dyDescent="0.25">
      <c r="B21" s="6" t="s">
        <v>65</v>
      </c>
      <c r="C21" s="46">
        <f>Assumptions!C31</f>
        <v>2000000</v>
      </c>
      <c r="D21" s="41">
        <f>C21</f>
        <v>2000000</v>
      </c>
      <c r="E21" s="41">
        <f>D21</f>
        <v>2000000</v>
      </c>
      <c r="F21" s="41">
        <f>E21</f>
        <v>2000000</v>
      </c>
      <c r="G21" s="41">
        <f>F21</f>
        <v>2000000</v>
      </c>
    </row>
    <row r="22" spans="2:7" x14ac:dyDescent="0.25">
      <c r="B22" s="6" t="s">
        <v>66</v>
      </c>
      <c r="C22" s="41">
        <f>'Income Statement'!C25</f>
        <v>554400</v>
      </c>
      <c r="D22" s="41">
        <f>C22+'Income Statement'!D25</f>
        <v>1710940</v>
      </c>
      <c r="E22" s="41">
        <f>D22+'Income Statement'!E25</f>
        <v>3659767.2300000009</v>
      </c>
      <c r="F22" s="41">
        <f>E22+'Income Statement'!F25</f>
        <v>6565272.2126250025</v>
      </c>
      <c r="G22" s="41">
        <f>F22+'Income Statement'!G25</f>
        <v>10441325.350620067</v>
      </c>
    </row>
    <row r="23" spans="2:7" x14ac:dyDescent="0.25">
      <c r="B23" s="7" t="s">
        <v>67</v>
      </c>
      <c r="C23" s="42">
        <f>C21+C22</f>
        <v>2554400</v>
      </c>
      <c r="D23" s="42">
        <f>D21+D22</f>
        <v>3710940</v>
      </c>
      <c r="E23" s="42">
        <f>E21+E22</f>
        <v>5659767.2300000004</v>
      </c>
      <c r="F23" s="42">
        <f>F21+F22</f>
        <v>8565272.2126250025</v>
      </c>
      <c r="G23" s="42">
        <f>G21+G22</f>
        <v>12441325.350620067</v>
      </c>
    </row>
    <row r="24" spans="2:7" x14ac:dyDescent="0.25">
      <c r="B24" s="6" t="s">
        <v>68</v>
      </c>
      <c r="C24" s="43">
        <f>'Capex Schedule'!C8</f>
        <v>354000</v>
      </c>
      <c r="D24" s="43">
        <f>'Capex Schedule'!D8</f>
        <v>435000</v>
      </c>
      <c r="E24" s="43">
        <f>'Capex Schedule'!E8</f>
        <v>544350</v>
      </c>
      <c r="F24" s="43">
        <f>'Capex Schedule'!F8</f>
        <v>681037.5</v>
      </c>
      <c r="G24" s="43">
        <f>'Capex Schedule'!G8</f>
        <v>838228.125</v>
      </c>
    </row>
    <row r="25" spans="2:7" x14ac:dyDescent="0.25">
      <c r="B25" s="13"/>
      <c r="C25" s="43"/>
      <c r="D25" s="43"/>
      <c r="E25" s="43"/>
      <c r="F25" s="43"/>
      <c r="G25" s="43"/>
    </row>
    <row r="26" spans="2:7" x14ac:dyDescent="0.25">
      <c r="B26" s="17" t="s">
        <v>69</v>
      </c>
      <c r="C26" s="45">
        <f>C20+C23</f>
        <v>3486400</v>
      </c>
      <c r="D26" s="45">
        <f>D20+D23</f>
        <v>4758940</v>
      </c>
      <c r="E26" s="45">
        <f>E20+E23</f>
        <v>6834567.2300000004</v>
      </c>
      <c r="F26" s="45">
        <f>F20+F23</f>
        <v>9858772.2126250025</v>
      </c>
      <c r="G26" s="45">
        <f>G20+G23</f>
        <v>13798850.350620067</v>
      </c>
    </row>
    <row r="27" spans="2:7" ht="4.5" customHeight="1" x14ac:dyDescent="0.25"/>
    <row r="28" spans="2:7" x14ac:dyDescent="0.25">
      <c r="B28" s="31" t="s">
        <v>110</v>
      </c>
      <c r="C28" s="60">
        <f>C13-C26</f>
        <v>0</v>
      </c>
      <c r="D28" s="60">
        <f t="shared" ref="D28:G28" si="0">D13-D26</f>
        <v>0</v>
      </c>
      <c r="E28" s="60">
        <f t="shared" si="0"/>
        <v>0</v>
      </c>
      <c r="F28" s="60">
        <f t="shared" si="0"/>
        <v>0</v>
      </c>
      <c r="G28" s="60">
        <f t="shared" si="0"/>
        <v>0</v>
      </c>
    </row>
    <row r="29" spans="2:7" ht="4.5" customHeight="1" x14ac:dyDescent="0.25">
      <c r="B29" s="31"/>
      <c r="C29" s="60"/>
      <c r="D29" s="60"/>
      <c r="E29" s="60"/>
      <c r="F29" s="60"/>
      <c r="G29" s="60"/>
    </row>
    <row r="30" spans="2:7" x14ac:dyDescent="0.25">
      <c r="B30" s="78" t="s">
        <v>64</v>
      </c>
      <c r="C30" s="78"/>
      <c r="E30" s="77" t="s">
        <v>55</v>
      </c>
      <c r="F30" s="77"/>
      <c r="G30" s="77"/>
    </row>
  </sheetData>
  <mergeCells count="2">
    <mergeCell ref="E30:G30"/>
    <mergeCell ref="B30:C30"/>
  </mergeCells>
  <dataValidations count="2">
    <dataValidation type="list" allowBlank="1" showInputMessage="1" showErrorMessage="1" sqref="E30" xr:uid="{249FFCB4-F9DE-4E1C-B458-4B9FD4C50CD6}">
      <formula1>$B$5:$B$11</formula1>
    </dataValidation>
    <dataValidation type="list" allowBlank="1" showInputMessage="1" showErrorMessage="1" sqref="B30" xr:uid="{290BBDAE-4ADB-4D70-8A4D-DBA32DAD8528}">
      <formula1>$B$16:$B$24</formula1>
    </dataValidation>
  </dataValidations>
  <pageMargins left="0.23622047244094491" right="0.23622047244094491" top="0.74803149606299213" bottom="0.74803149606299213" header="0.31496062992125984" footer="0.31496062992125984"/>
  <pageSetup paperSize="9" scale="78" orientation="landscape" r:id="rId1"/>
  <ignoredErrors>
    <ignoredError sqref="C19:G19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  <pageSetUpPr fitToPage="1"/>
  </sheetPr>
  <dimension ref="B1:G27"/>
  <sheetViews>
    <sheetView showGridLines="0" topLeftCell="A27" zoomScale="80" zoomScaleNormal="80" workbookViewId="0">
      <selection activeCell="J57" sqref="J57"/>
    </sheetView>
  </sheetViews>
  <sheetFormatPr defaultColWidth="8.7109375" defaultRowHeight="15" x14ac:dyDescent="0.25"/>
  <cols>
    <col min="1" max="1" width="1.85546875" style="1" customWidth="1"/>
    <col min="2" max="2" width="38" style="1" customWidth="1"/>
    <col min="3" max="7" width="16" style="1" customWidth="1"/>
    <col min="8" max="8" width="8.42578125" style="1" customWidth="1"/>
    <col min="9" max="16384" width="8.7109375" style="1"/>
  </cols>
  <sheetData>
    <row r="1" spans="2:7" ht="25.5" customHeight="1" x14ac:dyDescent="0.25">
      <c r="B1" s="2" t="s">
        <v>93</v>
      </c>
      <c r="C1" s="2"/>
      <c r="D1" s="2"/>
      <c r="E1" s="2"/>
      <c r="F1" s="2"/>
      <c r="G1" s="2"/>
    </row>
    <row r="2" spans="2:7" x14ac:dyDescent="0.25">
      <c r="B2" s="3" t="s">
        <v>30</v>
      </c>
      <c r="C2" s="15" t="s">
        <v>31</v>
      </c>
      <c r="D2" s="15" t="s">
        <v>32</v>
      </c>
      <c r="E2" s="15" t="s">
        <v>33</v>
      </c>
      <c r="F2" s="15" t="s">
        <v>34</v>
      </c>
      <c r="G2" s="15" t="s">
        <v>35</v>
      </c>
    </row>
    <row r="3" spans="2:7" s="11" customFormat="1" x14ac:dyDescent="0.25">
      <c r="B3" s="58"/>
      <c r="C3" s="59"/>
      <c r="D3" s="59"/>
      <c r="E3" s="59"/>
      <c r="F3" s="59"/>
      <c r="G3" s="59"/>
    </row>
    <row r="4" spans="2:7" x14ac:dyDescent="0.25">
      <c r="B4" s="68" t="s">
        <v>113</v>
      </c>
      <c r="C4" s="69"/>
      <c r="D4" s="69"/>
      <c r="E4" s="69"/>
      <c r="F4" s="69"/>
      <c r="G4" s="69"/>
    </row>
    <row r="5" spans="2:7" x14ac:dyDescent="0.25">
      <c r="B5" s="6" t="s">
        <v>49</v>
      </c>
      <c r="C5" s="43">
        <f>'Income Statement'!C25</f>
        <v>554400</v>
      </c>
      <c r="D5" s="43">
        <f>'Income Statement'!D25</f>
        <v>1156540</v>
      </c>
      <c r="E5" s="43">
        <f>'Income Statement'!E25</f>
        <v>1948827.2300000009</v>
      </c>
      <c r="F5" s="43">
        <f>'Income Statement'!F25</f>
        <v>2905504.982625002</v>
      </c>
      <c r="G5" s="43">
        <f>'Income Statement'!G25</f>
        <v>3876053.1379950643</v>
      </c>
    </row>
    <row r="6" spans="2:7" x14ac:dyDescent="0.25">
      <c r="B6" s="62" t="s">
        <v>70</v>
      </c>
      <c r="C6" s="43">
        <f>'Capex Schedule'!C8</f>
        <v>354000</v>
      </c>
      <c r="D6" s="43">
        <f>'Capex Schedule'!D8</f>
        <v>435000</v>
      </c>
      <c r="E6" s="43">
        <f>'Capex Schedule'!E8</f>
        <v>544350</v>
      </c>
      <c r="F6" s="43">
        <f>'Capex Schedule'!F8</f>
        <v>681037.5</v>
      </c>
      <c r="G6" s="43">
        <f>'Capex Schedule'!G8</f>
        <v>838228.125</v>
      </c>
    </row>
    <row r="7" spans="2:7" x14ac:dyDescent="0.25">
      <c r="B7" s="62" t="s">
        <v>71</v>
      </c>
      <c r="C7" s="41">
        <f>-'Balance Sheet'!C6</f>
        <v>-540000</v>
      </c>
      <c r="D7" s="41">
        <f>-('Balance Sheet'!D6-'Balance Sheet'!C6)</f>
        <v>-270000</v>
      </c>
      <c r="E7" s="41">
        <f>-('Balance Sheet'!E6-'Balance Sheet'!D6)</f>
        <v>-283500</v>
      </c>
      <c r="F7" s="41">
        <f>-('Balance Sheet'!F6-'Balance Sheet'!E6)</f>
        <v>-273375</v>
      </c>
      <c r="G7" s="41">
        <f>-('Balance Sheet'!G6-'Balance Sheet'!F6)</f>
        <v>-205031.25</v>
      </c>
    </row>
    <row r="8" spans="2:7" x14ac:dyDescent="0.25">
      <c r="B8" s="62" t="s">
        <v>72</v>
      </c>
      <c r="C8" s="41">
        <f>-'Balance Sheet'!C7</f>
        <v>-432000</v>
      </c>
      <c r="D8" s="41">
        <f>-('Balance Sheet'!D7-'Balance Sheet'!C7)</f>
        <v>-216000</v>
      </c>
      <c r="E8" s="41">
        <f>-('Balance Sheet'!E7-'Balance Sheet'!D7)</f>
        <v>-226800</v>
      </c>
      <c r="F8" s="41">
        <f>-('Balance Sheet'!F7-'Balance Sheet'!E7)</f>
        <v>-218700</v>
      </c>
      <c r="G8" s="41">
        <f>-('Balance Sheet'!G7-'Balance Sheet'!F7)</f>
        <v>-164024.99999999977</v>
      </c>
    </row>
    <row r="9" spans="2:7" x14ac:dyDescent="0.25">
      <c r="B9" s="62" t="s">
        <v>73</v>
      </c>
      <c r="C9" s="41">
        <f>'Balance Sheet'!C16</f>
        <v>270000</v>
      </c>
      <c r="D9" s="41">
        <f>'Balance Sheet'!D16-'Balance Sheet'!C16</f>
        <v>135000</v>
      </c>
      <c r="E9" s="41">
        <f>'Balance Sheet'!E16-'Balance Sheet'!D16</f>
        <v>141750</v>
      </c>
      <c r="F9" s="41">
        <f>'Balance Sheet'!F16-'Balance Sheet'!E16</f>
        <v>136687.5</v>
      </c>
      <c r="G9" s="41">
        <f>'Balance Sheet'!G16-'Balance Sheet'!F16</f>
        <v>102515.625</v>
      </c>
    </row>
    <row r="10" spans="2:7" x14ac:dyDescent="0.25">
      <c r="B10" s="62" t="s">
        <v>74</v>
      </c>
      <c r="C10" s="41">
        <f>'Balance Sheet'!C17</f>
        <v>162000</v>
      </c>
      <c r="D10" s="41">
        <f>'Balance Sheet'!D17-'Balance Sheet'!C17</f>
        <v>81000</v>
      </c>
      <c r="E10" s="41">
        <f>'Balance Sheet'!E17-'Balance Sheet'!D17</f>
        <v>85050</v>
      </c>
      <c r="F10" s="41">
        <f>'Balance Sheet'!F17-'Balance Sheet'!E17</f>
        <v>82012.5</v>
      </c>
      <c r="G10" s="41">
        <f>'Balance Sheet'!G17-'Balance Sheet'!F17</f>
        <v>61509.374999999942</v>
      </c>
    </row>
    <row r="11" spans="2:7" x14ac:dyDescent="0.25">
      <c r="B11" s="6"/>
      <c r="C11" s="41"/>
      <c r="D11" s="41"/>
      <c r="E11" s="41"/>
      <c r="F11" s="41"/>
      <c r="G11" s="41"/>
    </row>
    <row r="12" spans="2:7" x14ac:dyDescent="0.25">
      <c r="B12" s="67" t="s">
        <v>75</v>
      </c>
      <c r="C12" s="42">
        <f>SUM(C5:C10)</f>
        <v>368400</v>
      </c>
      <c r="D12" s="42">
        <f>SUM(D5:D10)</f>
        <v>1321540</v>
      </c>
      <c r="E12" s="42">
        <f>SUM(E5:E10)</f>
        <v>2209677.2300000009</v>
      </c>
      <c r="F12" s="42">
        <f>SUM(F5:F10)</f>
        <v>3313167.482625002</v>
      </c>
      <c r="G12" s="42">
        <f>SUM(G5:G10)</f>
        <v>4509250.0129950643</v>
      </c>
    </row>
    <row r="13" spans="2:7" s="11" customFormat="1" x14ac:dyDescent="0.25">
      <c r="B13" s="12"/>
      <c r="C13" s="48"/>
      <c r="D13" s="48"/>
      <c r="E13" s="48"/>
      <c r="F13" s="48"/>
      <c r="G13" s="48"/>
    </row>
    <row r="14" spans="2:7" x14ac:dyDescent="0.25">
      <c r="B14" s="68" t="s">
        <v>112</v>
      </c>
      <c r="C14" s="70"/>
      <c r="D14" s="70"/>
      <c r="E14" s="70"/>
      <c r="F14" s="70"/>
      <c r="G14" s="70"/>
    </row>
    <row r="15" spans="2:7" x14ac:dyDescent="0.25">
      <c r="B15" s="6" t="s">
        <v>76</v>
      </c>
      <c r="C15" s="43">
        <f>-'Capex Schedule'!C5</f>
        <v>-270000</v>
      </c>
      <c r="D15" s="43">
        <f>-'Capex Schedule'!D5</f>
        <v>-405000</v>
      </c>
      <c r="E15" s="43">
        <f>-'Capex Schedule'!E5</f>
        <v>-546750</v>
      </c>
      <c r="F15" s="43">
        <f>-'Capex Schedule'!F5</f>
        <v>-683437.5</v>
      </c>
      <c r="G15" s="43">
        <f>-'Capex Schedule'!G5</f>
        <v>-785953.125</v>
      </c>
    </row>
    <row r="16" spans="2:7" x14ac:dyDescent="0.25">
      <c r="B16" s="6"/>
      <c r="C16" s="43"/>
      <c r="D16" s="43"/>
      <c r="E16" s="43"/>
      <c r="F16" s="43"/>
      <c r="G16" s="43"/>
    </row>
    <row r="17" spans="2:7" x14ac:dyDescent="0.25">
      <c r="B17" s="67" t="s">
        <v>77</v>
      </c>
      <c r="C17" s="42">
        <f>C15</f>
        <v>-270000</v>
      </c>
      <c r="D17" s="42">
        <f>D15</f>
        <v>-405000</v>
      </c>
      <c r="E17" s="42">
        <f>E15</f>
        <v>-546750</v>
      </c>
      <c r="F17" s="42">
        <f>F15</f>
        <v>-683437.5</v>
      </c>
      <c r="G17" s="42">
        <f>G15</f>
        <v>-785953.125</v>
      </c>
    </row>
    <row r="18" spans="2:7" s="11" customFormat="1" x14ac:dyDescent="0.25">
      <c r="B18" s="66"/>
      <c r="C18" s="48"/>
      <c r="D18" s="48"/>
      <c r="E18" s="48"/>
      <c r="F18" s="48"/>
      <c r="G18" s="48"/>
    </row>
    <row r="19" spans="2:7" x14ac:dyDescent="0.25">
      <c r="B19" s="68" t="s">
        <v>111</v>
      </c>
      <c r="C19" s="70"/>
      <c r="D19" s="70"/>
      <c r="E19" s="70"/>
      <c r="F19" s="70"/>
      <c r="G19" s="70"/>
    </row>
    <row r="20" spans="2:7" x14ac:dyDescent="0.25">
      <c r="B20" s="6" t="s">
        <v>78</v>
      </c>
      <c r="C20" s="43">
        <f>'Debt Schedule'!C5</f>
        <v>-100000</v>
      </c>
      <c r="D20" s="43">
        <f>'Debt Schedule'!D5</f>
        <v>-100000</v>
      </c>
      <c r="E20" s="43">
        <f>'Debt Schedule'!E5</f>
        <v>-100000</v>
      </c>
      <c r="F20" s="43">
        <f>'Debt Schedule'!F5</f>
        <v>-100000</v>
      </c>
      <c r="G20" s="43">
        <f>'Debt Schedule'!G5</f>
        <v>-100000</v>
      </c>
    </row>
    <row r="21" spans="2:7" x14ac:dyDescent="0.25">
      <c r="B21" s="6"/>
      <c r="C21" s="43"/>
      <c r="D21" s="43"/>
      <c r="E21" s="43"/>
      <c r="F21" s="43"/>
      <c r="G21" s="43"/>
    </row>
    <row r="22" spans="2:7" x14ac:dyDescent="0.25">
      <c r="B22" s="67" t="s">
        <v>79</v>
      </c>
      <c r="C22" s="42">
        <f>C20</f>
        <v>-100000</v>
      </c>
      <c r="D22" s="42">
        <f>D20</f>
        <v>-100000</v>
      </c>
      <c r="E22" s="42">
        <f>E20</f>
        <v>-100000</v>
      </c>
      <c r="F22" s="42">
        <f>F20</f>
        <v>-100000</v>
      </c>
      <c r="G22" s="42">
        <f>G20</f>
        <v>-100000</v>
      </c>
    </row>
    <row r="23" spans="2:7" s="11" customFormat="1" x14ac:dyDescent="0.25">
      <c r="B23" s="12"/>
      <c r="C23" s="48"/>
      <c r="D23" s="48"/>
      <c r="E23" s="48"/>
      <c r="F23" s="48"/>
      <c r="G23" s="48"/>
    </row>
    <row r="24" spans="2:7" x14ac:dyDescent="0.25">
      <c r="B24" s="61" t="s">
        <v>81</v>
      </c>
      <c r="C24" s="46">
        <f>Assumptions!C30</f>
        <v>800000</v>
      </c>
      <c r="D24" s="41">
        <f>C25</f>
        <v>798400</v>
      </c>
      <c r="E24" s="41">
        <f>D25</f>
        <v>1614940</v>
      </c>
      <c r="F24" s="41">
        <f>E25</f>
        <v>3177867.2300000009</v>
      </c>
      <c r="G24" s="41">
        <f>F25</f>
        <v>5707597.2126250025</v>
      </c>
    </row>
    <row r="25" spans="2:7" x14ac:dyDescent="0.25">
      <c r="B25" s="61" t="s">
        <v>82</v>
      </c>
      <c r="C25" s="64">
        <f>C24+C27</f>
        <v>798400</v>
      </c>
      <c r="D25" s="41">
        <f>D24+D27</f>
        <v>1614940</v>
      </c>
      <c r="E25" s="41">
        <f>E24+E27</f>
        <v>3177867.2300000009</v>
      </c>
      <c r="F25" s="41">
        <f>F24+F27</f>
        <v>5707597.2126250025</v>
      </c>
      <c r="G25" s="41">
        <f>G24+G27</f>
        <v>9330894.1006200667</v>
      </c>
    </row>
    <row r="26" spans="2:7" x14ac:dyDescent="0.25">
      <c r="C26" s="65"/>
      <c r="D26" s="65"/>
      <c r="E26" s="65"/>
      <c r="F26" s="65"/>
      <c r="G26" s="65"/>
    </row>
    <row r="27" spans="2:7" x14ac:dyDescent="0.25">
      <c r="B27" s="63" t="s">
        <v>80</v>
      </c>
      <c r="C27" s="49">
        <f>C12+C17+C22</f>
        <v>-1600</v>
      </c>
      <c r="D27" s="49">
        <f>D12+D17+D22</f>
        <v>816540</v>
      </c>
      <c r="E27" s="49">
        <f>E12+E17+E22</f>
        <v>1562927.2300000009</v>
      </c>
      <c r="F27" s="49">
        <f>F12+F17+F22</f>
        <v>2529729.982625002</v>
      </c>
      <c r="G27" s="49">
        <f>G12+G17+G22</f>
        <v>3623296.8879950643</v>
      </c>
    </row>
  </sheetData>
  <pageMargins left="0.25" right="0.25" top="0.75" bottom="0.75" header="0.3" footer="0.3"/>
  <pageSetup paperSize="9" scale="61" fitToWidth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  <pageSetUpPr fitToPage="1"/>
  </sheetPr>
  <dimension ref="B1:G10"/>
  <sheetViews>
    <sheetView showGridLines="0" zoomScale="80" zoomScaleNormal="80" workbookViewId="0">
      <selection activeCell="C4" sqref="C4"/>
    </sheetView>
  </sheetViews>
  <sheetFormatPr defaultColWidth="8.7109375" defaultRowHeight="15" x14ac:dyDescent="0.25"/>
  <cols>
    <col min="1" max="1" width="1.85546875" style="1" customWidth="1"/>
    <col min="2" max="2" width="38" style="1" customWidth="1"/>
    <col min="3" max="7" width="16" style="1" customWidth="1"/>
    <col min="8" max="16384" width="8.7109375" style="1"/>
  </cols>
  <sheetData>
    <row r="1" spans="2:7" ht="25.5" customHeight="1" x14ac:dyDescent="0.25">
      <c r="B1" s="71" t="s">
        <v>94</v>
      </c>
      <c r="C1" s="2"/>
      <c r="D1" s="2"/>
      <c r="E1" s="2"/>
      <c r="F1" s="2"/>
      <c r="G1" s="2"/>
    </row>
    <row r="2" spans="2:7" x14ac:dyDescent="0.25">
      <c r="B2" s="3" t="s">
        <v>30</v>
      </c>
      <c r="C2" s="18" t="s">
        <v>31</v>
      </c>
      <c r="D2" s="18" t="s">
        <v>32</v>
      </c>
      <c r="E2" s="18" t="s">
        <v>33</v>
      </c>
      <c r="F2" s="18" t="s">
        <v>34</v>
      </c>
      <c r="G2" s="18" t="s">
        <v>35</v>
      </c>
    </row>
    <row r="3" spans="2:7" s="11" customFormat="1" x14ac:dyDescent="0.25">
      <c r="B3" s="58"/>
      <c r="C3" s="72"/>
      <c r="D3" s="72"/>
      <c r="E3" s="72"/>
      <c r="F3" s="72"/>
      <c r="G3" s="72"/>
    </row>
    <row r="4" spans="2:7" x14ac:dyDescent="0.25">
      <c r="B4" s="61" t="s">
        <v>83</v>
      </c>
      <c r="C4" s="64">
        <v>1500000</v>
      </c>
      <c r="D4" s="41">
        <f>C6</f>
        <v>1770000</v>
      </c>
      <c r="E4" s="41">
        <f>D6</f>
        <v>2175000</v>
      </c>
      <c r="F4" s="41">
        <f>E6</f>
        <v>2721750</v>
      </c>
      <c r="G4" s="41">
        <f>F6</f>
        <v>3405187.5</v>
      </c>
    </row>
    <row r="5" spans="2:7" x14ac:dyDescent="0.25">
      <c r="B5" s="61" t="s">
        <v>84</v>
      </c>
      <c r="C5" s="41">
        <f>'Income Statement'!C3*Assumptions!C19</f>
        <v>270000</v>
      </c>
      <c r="D5" s="41">
        <f>'Income Statement'!D3*Assumptions!C19</f>
        <v>405000</v>
      </c>
      <c r="E5" s="41">
        <f>'Income Statement'!E3*Assumptions!C19</f>
        <v>546750</v>
      </c>
      <c r="F5" s="41">
        <f>'Income Statement'!F3*Assumptions!C19</f>
        <v>683437.5</v>
      </c>
      <c r="G5" s="41">
        <f>'Income Statement'!G3*Assumptions!C19</f>
        <v>785953.125</v>
      </c>
    </row>
    <row r="6" spans="2:7" x14ac:dyDescent="0.25">
      <c r="B6" s="61" t="s">
        <v>85</v>
      </c>
      <c r="C6" s="44">
        <f>C4+C5</f>
        <v>1770000</v>
      </c>
      <c r="D6" s="44">
        <f>D4+D5</f>
        <v>2175000</v>
      </c>
      <c r="E6" s="44">
        <f>E4+E5</f>
        <v>2721750</v>
      </c>
      <c r="F6" s="44">
        <f>F4+F5</f>
        <v>3405187.5</v>
      </c>
      <c r="G6" s="44">
        <f>G4+G5</f>
        <v>4191140.625</v>
      </c>
    </row>
    <row r="7" spans="2:7" x14ac:dyDescent="0.25">
      <c r="B7" s="61" t="s">
        <v>86</v>
      </c>
      <c r="C7" s="41">
        <f>0</f>
        <v>0</v>
      </c>
      <c r="D7" s="41">
        <f>C9</f>
        <v>354000</v>
      </c>
      <c r="E7" s="41">
        <f>D9</f>
        <v>789000</v>
      </c>
      <c r="F7" s="41">
        <f>E9</f>
        <v>1333350</v>
      </c>
      <c r="G7" s="41">
        <f>F9</f>
        <v>2014387.5</v>
      </c>
    </row>
    <row r="8" spans="2:7" x14ac:dyDescent="0.25">
      <c r="B8" s="61" t="s">
        <v>87</v>
      </c>
      <c r="C8" s="44">
        <f>C6/Assumptions!C20</f>
        <v>354000</v>
      </c>
      <c r="D8" s="44">
        <f>D6/Assumptions!C20</f>
        <v>435000</v>
      </c>
      <c r="E8" s="44">
        <f>E6/Assumptions!C20</f>
        <v>544350</v>
      </c>
      <c r="F8" s="44">
        <f>F6/Assumptions!C20</f>
        <v>681037.5</v>
      </c>
      <c r="G8" s="44">
        <f>G6/Assumptions!C20</f>
        <v>838228.125</v>
      </c>
    </row>
    <row r="9" spans="2:7" x14ac:dyDescent="0.25">
      <c r="B9" s="61" t="s">
        <v>88</v>
      </c>
      <c r="C9" s="41">
        <f>C7+C8</f>
        <v>354000</v>
      </c>
      <c r="D9" s="41">
        <f>D7+D8</f>
        <v>789000</v>
      </c>
      <c r="E9" s="41">
        <f>E7+E8</f>
        <v>1333350</v>
      </c>
      <c r="F9" s="41">
        <f>F7+F8</f>
        <v>2014387.5</v>
      </c>
      <c r="G9" s="41">
        <f>G7+G8</f>
        <v>2852615.625</v>
      </c>
    </row>
    <row r="10" spans="2:7" x14ac:dyDescent="0.25">
      <c r="B10" s="61" t="s">
        <v>89</v>
      </c>
      <c r="C10" s="44">
        <f>C6-C9</f>
        <v>1416000</v>
      </c>
      <c r="D10" s="44">
        <f>D6-D9</f>
        <v>1386000</v>
      </c>
      <c r="E10" s="44">
        <f>E6-E9</f>
        <v>1388400</v>
      </c>
      <c r="F10" s="44">
        <f>F6-F9</f>
        <v>1390800</v>
      </c>
      <c r="G10" s="44">
        <f>G6-G9</f>
        <v>1338525</v>
      </c>
    </row>
  </sheetData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  <pageSetUpPr fitToPage="1"/>
  </sheetPr>
  <dimension ref="B1:G7"/>
  <sheetViews>
    <sheetView showGridLines="0" zoomScale="80" zoomScaleNormal="80" workbookViewId="0">
      <selection activeCell="C4" sqref="C4"/>
    </sheetView>
  </sheetViews>
  <sheetFormatPr defaultColWidth="8.7109375" defaultRowHeight="15" x14ac:dyDescent="0.25"/>
  <cols>
    <col min="1" max="1" width="1.85546875" style="1" customWidth="1"/>
    <col min="2" max="2" width="38" style="1" customWidth="1"/>
    <col min="3" max="7" width="16" style="1" customWidth="1"/>
    <col min="8" max="16384" width="8.7109375" style="1"/>
  </cols>
  <sheetData>
    <row r="1" spans="2:7" ht="25.5" customHeight="1" x14ac:dyDescent="0.25">
      <c r="B1" s="20" t="s">
        <v>95</v>
      </c>
      <c r="C1" s="2"/>
      <c r="D1" s="2"/>
      <c r="E1" s="2"/>
      <c r="F1" s="2"/>
      <c r="G1" s="2"/>
    </row>
    <row r="2" spans="2:7" x14ac:dyDescent="0.25">
      <c r="B2" s="3" t="s">
        <v>30</v>
      </c>
      <c r="C2" s="15" t="s">
        <v>31</v>
      </c>
      <c r="D2" s="15" t="s">
        <v>32</v>
      </c>
      <c r="E2" s="15" t="s">
        <v>33</v>
      </c>
      <c r="F2" s="15" t="s">
        <v>34</v>
      </c>
      <c r="G2" s="15" t="s">
        <v>35</v>
      </c>
    </row>
    <row r="3" spans="2:7" s="11" customFormat="1" x14ac:dyDescent="0.25">
      <c r="B3" s="58"/>
      <c r="C3" s="59"/>
      <c r="D3" s="59"/>
      <c r="E3" s="59"/>
      <c r="F3" s="59"/>
      <c r="G3" s="59"/>
    </row>
    <row r="4" spans="2:7" x14ac:dyDescent="0.25">
      <c r="B4" s="61" t="s">
        <v>90</v>
      </c>
      <c r="C4" s="80">
        <f>Assumptions!C24</f>
        <v>600000</v>
      </c>
      <c r="D4" s="5">
        <f>C7</f>
        <v>500000</v>
      </c>
      <c r="E4" s="5">
        <f>D7</f>
        <v>400000</v>
      </c>
      <c r="F4" s="5">
        <f>E7</f>
        <v>300000</v>
      </c>
      <c r="G4" s="5">
        <f>F7</f>
        <v>200000</v>
      </c>
    </row>
    <row r="5" spans="2:7" x14ac:dyDescent="0.25">
      <c r="B5" s="61" t="s">
        <v>78</v>
      </c>
      <c r="C5" s="5">
        <f>-MIN(Assumptions!C26,C4)</f>
        <v>-100000</v>
      </c>
      <c r="D5" s="5">
        <f>-MIN(Assumptions!C26,D4)</f>
        <v>-100000</v>
      </c>
      <c r="E5" s="5">
        <f>-MIN(Assumptions!C26,E4)</f>
        <v>-100000</v>
      </c>
      <c r="F5" s="5">
        <f>-MIN(Assumptions!C26,F4)</f>
        <v>-100000</v>
      </c>
      <c r="G5" s="5">
        <f>-MIN(Assumptions!C26,G4)</f>
        <v>-100000</v>
      </c>
    </row>
    <row r="6" spans="2:7" x14ac:dyDescent="0.25">
      <c r="B6" s="61" t="s">
        <v>46</v>
      </c>
      <c r="C6" s="16">
        <f>C4*Assumptions!C25</f>
        <v>42000.000000000007</v>
      </c>
      <c r="D6" s="16">
        <f>D4*Assumptions!C25</f>
        <v>35000</v>
      </c>
      <c r="E6" s="16">
        <f>E4*Assumptions!C25</f>
        <v>28000.000000000004</v>
      </c>
      <c r="F6" s="16">
        <f>F4*Assumptions!C25</f>
        <v>21000.000000000004</v>
      </c>
      <c r="G6" s="16">
        <f>G4*Assumptions!C25</f>
        <v>14000.000000000002</v>
      </c>
    </row>
    <row r="7" spans="2:7" x14ac:dyDescent="0.25">
      <c r="B7" s="61" t="s">
        <v>91</v>
      </c>
      <c r="C7" s="16">
        <f>C4+C5</f>
        <v>500000</v>
      </c>
      <c r="D7" s="16">
        <f>D4+D5</f>
        <v>400000</v>
      </c>
      <c r="E7" s="16">
        <f>E4+E5</f>
        <v>300000</v>
      </c>
      <c r="F7" s="16">
        <f>F4+F5</f>
        <v>200000</v>
      </c>
      <c r="G7" s="16">
        <f>G4+G5</f>
        <v>100000</v>
      </c>
    </row>
  </sheetData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75855-466C-4826-B816-4A5CAEAD23E2}">
  <sheetPr>
    <tabColor theme="3" tint="-0.499984740745262"/>
  </sheetPr>
  <dimension ref="B2:L21"/>
  <sheetViews>
    <sheetView showGridLines="0" zoomScale="80" zoomScaleNormal="80" workbookViewId="0">
      <selection activeCell="A14" sqref="A14"/>
    </sheetView>
  </sheetViews>
  <sheetFormatPr defaultRowHeight="15" x14ac:dyDescent="0.25"/>
  <cols>
    <col min="1" max="1" width="1.85546875" style="1" customWidth="1"/>
    <col min="2" max="2" width="28.42578125" style="1" customWidth="1"/>
    <col min="3" max="7" width="12.7109375" style="1" customWidth="1"/>
    <col min="8" max="8" width="9.140625" style="1"/>
    <col min="9" max="9" width="27.85546875" style="1" customWidth="1"/>
    <col min="10" max="10" width="11.7109375" style="1" customWidth="1"/>
    <col min="11" max="11" width="9.140625" style="1"/>
    <col min="12" max="12" width="15.28515625" style="1" bestFit="1" customWidth="1"/>
    <col min="13" max="16384" width="9.140625" style="1"/>
  </cols>
  <sheetData>
    <row r="2" spans="2:12" ht="23.25" x14ac:dyDescent="0.25">
      <c r="B2" s="73" t="s">
        <v>118</v>
      </c>
      <c r="C2" s="74"/>
      <c r="D2" s="74"/>
      <c r="E2" s="74"/>
      <c r="F2" s="74"/>
      <c r="G2" s="74"/>
      <c r="H2" s="74"/>
      <c r="I2" s="74"/>
      <c r="J2" s="74"/>
    </row>
    <row r="4" spans="2:12" x14ac:dyDescent="0.25">
      <c r="B4" s="50" t="s">
        <v>108</v>
      </c>
      <c r="C4" s="51"/>
      <c r="D4" s="51"/>
      <c r="E4" s="51"/>
      <c r="F4" s="51"/>
      <c r="G4" s="51"/>
      <c r="H4" s="51"/>
      <c r="I4" s="51"/>
      <c r="J4" s="51"/>
    </row>
    <row r="5" spans="2:12" ht="4.5" customHeight="1" x14ac:dyDescent="0.25"/>
    <row r="6" spans="2:12" x14ac:dyDescent="0.25">
      <c r="B6" s="31" t="str">
        <f>'Income Statement'!B2</f>
        <v>Metric</v>
      </c>
      <c r="C6" s="52" t="str">
        <f>'Income Statement'!C2</f>
        <v>Year 1</v>
      </c>
      <c r="D6" s="52" t="str">
        <f>'Income Statement'!D2</f>
        <v>Year 2</v>
      </c>
      <c r="E6" s="52" t="str">
        <f>'Income Statement'!E2</f>
        <v>Year 3</v>
      </c>
      <c r="F6" s="52" t="str">
        <f>'Income Statement'!F2</f>
        <v>Year 4</v>
      </c>
      <c r="G6" s="52" t="str">
        <f>'Income Statement'!G2</f>
        <v>Year 5</v>
      </c>
      <c r="I6" s="1" t="s">
        <v>31</v>
      </c>
      <c r="J6" s="1">
        <v>2</v>
      </c>
      <c r="L6" s="54">
        <f>VLOOKUP('Income Statement'!K1,I6:J10,2,0)</f>
        <v>4</v>
      </c>
    </row>
    <row r="7" spans="2:12" x14ac:dyDescent="0.25">
      <c r="B7" s="1" t="str">
        <f>'Income Statement'!B9</f>
        <v>Sales &amp; Marketing</v>
      </c>
      <c r="C7" s="41">
        <f>-'Income Statement'!C9</f>
        <v>1080000</v>
      </c>
      <c r="D7" s="41">
        <f>-'Income Statement'!D9</f>
        <v>1620000</v>
      </c>
      <c r="E7" s="41">
        <f>-'Income Statement'!E9</f>
        <v>2187000</v>
      </c>
      <c r="F7" s="41">
        <f>-'Income Statement'!F9</f>
        <v>2733750</v>
      </c>
      <c r="G7" s="41">
        <f>-'Income Statement'!G9</f>
        <v>3143812.5</v>
      </c>
      <c r="I7" s="1" t="s">
        <v>32</v>
      </c>
      <c r="J7" s="1">
        <v>3</v>
      </c>
    </row>
    <row r="8" spans="2:12" x14ac:dyDescent="0.25">
      <c r="B8" s="1" t="str">
        <f>'Income Statement'!B10</f>
        <v>General &amp; Administrative</v>
      </c>
      <c r="C8" s="41">
        <f>-'Income Statement'!C10</f>
        <v>540000</v>
      </c>
      <c r="D8" s="41">
        <f>-'Income Statement'!D10</f>
        <v>810000</v>
      </c>
      <c r="E8" s="41">
        <f>-'Income Statement'!E10</f>
        <v>1093500</v>
      </c>
      <c r="F8" s="41">
        <f>-'Income Statement'!F10</f>
        <v>1366875</v>
      </c>
      <c r="G8" s="41">
        <f>-'Income Statement'!G10</f>
        <v>1571906.25</v>
      </c>
      <c r="I8" s="1" t="s">
        <v>33</v>
      </c>
      <c r="J8" s="1">
        <v>4</v>
      </c>
    </row>
    <row r="9" spans="2:12" x14ac:dyDescent="0.25">
      <c r="B9" s="1" t="str">
        <f>'Income Statement'!B11</f>
        <v>Research &amp; Development</v>
      </c>
      <c r="C9" s="41">
        <f>-'Income Statement'!C11</f>
        <v>432000</v>
      </c>
      <c r="D9" s="41">
        <f>-'Income Statement'!D11</f>
        <v>648000</v>
      </c>
      <c r="E9" s="41">
        <f>-'Income Statement'!E11</f>
        <v>874800</v>
      </c>
      <c r="F9" s="41">
        <f>-'Income Statement'!F11</f>
        <v>1093500</v>
      </c>
      <c r="G9" s="41">
        <f>-'Income Statement'!G11</f>
        <v>1257524.9999999998</v>
      </c>
      <c r="I9" s="1" t="s">
        <v>34</v>
      </c>
      <c r="J9" s="1">
        <v>5</v>
      </c>
    </row>
    <row r="10" spans="2:12" x14ac:dyDescent="0.25">
      <c r="B10" s="1" t="str">
        <f>'Income Statement'!B12</f>
        <v>Depreciation</v>
      </c>
      <c r="C10" s="41">
        <f>-'Income Statement'!C12</f>
        <v>354000</v>
      </c>
      <c r="D10" s="41">
        <f>-'Income Statement'!D12</f>
        <v>435000</v>
      </c>
      <c r="E10" s="41">
        <f>-'Income Statement'!E12</f>
        <v>544350</v>
      </c>
      <c r="F10" s="41">
        <f>-'Income Statement'!F12</f>
        <v>681037.5</v>
      </c>
      <c r="G10" s="41">
        <f>-'Income Statement'!G12</f>
        <v>838228.125</v>
      </c>
      <c r="I10" s="1" t="s">
        <v>35</v>
      </c>
      <c r="J10" s="1">
        <v>6</v>
      </c>
    </row>
    <row r="12" spans="2:12" x14ac:dyDescent="0.25">
      <c r="B12" s="1" t="str">
        <f>B7</f>
        <v>Sales &amp; Marketing</v>
      </c>
      <c r="C12" s="53">
        <f>C7/SUM(C$7:C$10)</f>
        <v>0.44887780548628431</v>
      </c>
      <c r="D12" s="53">
        <f t="shared" ref="D12:G12" si="0">D7/SUM(D$7:D$10)</f>
        <v>0.46114432109308284</v>
      </c>
      <c r="E12" s="53">
        <f t="shared" si="0"/>
        <v>0.46535380294277234</v>
      </c>
      <c r="F12" s="53">
        <f t="shared" si="0"/>
        <v>0.4653062787625023</v>
      </c>
      <c r="G12" s="53">
        <f t="shared" si="0"/>
        <v>0.46154671966549082</v>
      </c>
      <c r="I12" s="53" t="str">
        <f>B12</f>
        <v>Sales &amp; Marketing</v>
      </c>
      <c r="J12" s="41">
        <f>VLOOKUP(I12,$B$7:$G$10,$L$6,0)</f>
        <v>2187000</v>
      </c>
    </row>
    <row r="13" spans="2:12" x14ac:dyDescent="0.25">
      <c r="B13" s="1" t="str">
        <f t="shared" ref="B13:B15" si="1">B8</f>
        <v>General &amp; Administrative</v>
      </c>
      <c r="C13" s="53">
        <f t="shared" ref="C13:G15" si="2">C8/SUM(C$7:C$10)</f>
        <v>0.22443890274314215</v>
      </c>
      <c r="D13" s="53">
        <f t="shared" si="2"/>
        <v>0.23057216054654142</v>
      </c>
      <c r="E13" s="53">
        <f t="shared" si="2"/>
        <v>0.23267690147138617</v>
      </c>
      <c r="F13" s="53">
        <f t="shared" si="2"/>
        <v>0.23265313938125115</v>
      </c>
      <c r="G13" s="53">
        <f t="shared" si="2"/>
        <v>0.23077335983274541</v>
      </c>
      <c r="I13" s="53" t="str">
        <f t="shared" ref="I13:I15" si="3">B13</f>
        <v>General &amp; Administrative</v>
      </c>
      <c r="J13" s="41">
        <f>VLOOKUP(I13,$B$7:$G$10,$L$6,0)</f>
        <v>1093500</v>
      </c>
    </row>
    <row r="14" spans="2:12" x14ac:dyDescent="0.25">
      <c r="B14" s="1" t="str">
        <f t="shared" si="1"/>
        <v>Research &amp; Development</v>
      </c>
      <c r="C14" s="53">
        <f t="shared" si="2"/>
        <v>0.17955112219451372</v>
      </c>
      <c r="D14" s="53">
        <f t="shared" si="2"/>
        <v>0.18445772843723313</v>
      </c>
      <c r="E14" s="53">
        <f t="shared" si="2"/>
        <v>0.18614152117710894</v>
      </c>
      <c r="F14" s="53">
        <f t="shared" si="2"/>
        <v>0.18612251150500092</v>
      </c>
      <c r="G14" s="53">
        <f t="shared" si="2"/>
        <v>0.18461868786619628</v>
      </c>
      <c r="I14" s="53" t="str">
        <f t="shared" si="3"/>
        <v>Research &amp; Development</v>
      </c>
      <c r="J14" s="41">
        <f>VLOOKUP(I14,$B$7:$G$10,$L$6,0)</f>
        <v>874800</v>
      </c>
    </row>
    <row r="15" spans="2:12" x14ac:dyDescent="0.25">
      <c r="B15" s="1" t="str">
        <f t="shared" si="1"/>
        <v>Depreciation</v>
      </c>
      <c r="C15" s="53">
        <f t="shared" si="2"/>
        <v>0.14713216957605985</v>
      </c>
      <c r="D15" s="53">
        <f t="shared" si="2"/>
        <v>0.12382578992314261</v>
      </c>
      <c r="E15" s="53">
        <f t="shared" si="2"/>
        <v>0.11582777440873257</v>
      </c>
      <c r="F15" s="53">
        <f t="shared" si="2"/>
        <v>0.1159180703512456</v>
      </c>
      <c r="G15" s="53">
        <f t="shared" si="2"/>
        <v>0.12306123263556748</v>
      </c>
      <c r="I15" s="53" t="str">
        <f t="shared" si="3"/>
        <v>Depreciation</v>
      </c>
      <c r="J15" s="41">
        <f>VLOOKUP(I15,$B$7:$G$10,$L$6,0)</f>
        <v>544350</v>
      </c>
    </row>
    <row r="17" spans="2:10" x14ac:dyDescent="0.25">
      <c r="B17" s="50" t="s">
        <v>114</v>
      </c>
      <c r="C17" s="51"/>
      <c r="D17" s="51"/>
      <c r="E17" s="51"/>
      <c r="F17" s="51"/>
      <c r="G17" s="51"/>
      <c r="H17" s="51"/>
      <c r="I17" s="51"/>
      <c r="J17" s="51"/>
    </row>
    <row r="18" spans="2:10" x14ac:dyDescent="0.25">
      <c r="B18" s="31" t="s">
        <v>116</v>
      </c>
    </row>
    <row r="19" spans="2:10" x14ac:dyDescent="0.25">
      <c r="B19" s="1" t="str">
        <f>'Balance Sheet'!E30</f>
        <v>Total Current Assets</v>
      </c>
      <c r="C19" s="41">
        <f>VLOOKUP('Balance Sheet'!$E$30,'Balance Sheet'!$B$2:$G$26,2,0)</f>
        <v>2070400</v>
      </c>
      <c r="D19" s="41">
        <f>VLOOKUP('Balance Sheet'!$E$30,'Balance Sheet'!$B$2:$G$26,3,0)</f>
        <v>3372940</v>
      </c>
      <c r="E19" s="41">
        <f>VLOOKUP('Balance Sheet'!$E$30,'Balance Sheet'!$B$2:$G$26,4,0)</f>
        <v>5446167.2300000004</v>
      </c>
      <c r="F19" s="41">
        <f>VLOOKUP('Balance Sheet'!$E$30,'Balance Sheet'!$B$2:$G$26,5,0)</f>
        <v>8467972.2126250025</v>
      </c>
      <c r="G19" s="41">
        <f>VLOOKUP('Balance Sheet'!$E$30,'Balance Sheet'!$B$2:$G$26,6,0)</f>
        <v>12460325.350620067</v>
      </c>
    </row>
    <row r="20" spans="2:10" x14ac:dyDescent="0.25">
      <c r="B20" s="31" t="s">
        <v>117</v>
      </c>
    </row>
    <row r="21" spans="2:10" x14ac:dyDescent="0.25">
      <c r="B21" s="1" t="str">
        <f>'Balance Sheet'!B30</f>
        <v>Total Liabilities</v>
      </c>
      <c r="C21" s="41">
        <f>VLOOKUP('Balance Sheet'!$B$30,'Balance Sheet'!$B$2:$G$26,2,0)</f>
        <v>932000</v>
      </c>
      <c r="D21" s="41">
        <f>VLOOKUP('Balance Sheet'!$B$30,'Balance Sheet'!$B$2:$G$26,3,0)</f>
        <v>1048000</v>
      </c>
      <c r="E21" s="41">
        <f>VLOOKUP('Balance Sheet'!$B$30,'Balance Sheet'!$B$2:$G$26,4,0)</f>
        <v>1174800</v>
      </c>
      <c r="F21" s="41">
        <f>VLOOKUP('Balance Sheet'!$B$30,'Balance Sheet'!$B$2:$G$26,5,0)</f>
        <v>1293500</v>
      </c>
      <c r="G21" s="41">
        <f>VLOOKUP('Balance Sheet'!$B$30,'Balance Sheet'!$B$2:$G$26,6,0)</f>
        <v>1357525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Income Statement</vt:lpstr>
      <vt:lpstr>Balance Sheet</vt:lpstr>
      <vt:lpstr>Cash Flow Statement</vt:lpstr>
      <vt:lpstr>Capex Schedule</vt:lpstr>
      <vt:lpstr>Debt Schedule</vt:lpstr>
      <vt:lpstr>Data_Sheet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cp:lastPrinted>2026-02-28T16:28:02Z</cp:lastPrinted>
  <dcterms:created xsi:type="dcterms:W3CDTF">2026-02-27T09:31:54Z</dcterms:created>
  <dcterms:modified xsi:type="dcterms:W3CDTF">2026-03-02T15:41:29Z</dcterms:modified>
  <dc:language>en-US</dc:language>
</cp:coreProperties>
</file>